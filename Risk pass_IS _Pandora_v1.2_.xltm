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sor6s\Desktop\Risk\"/>
    </mc:Choice>
  </mc:AlternateContent>
  <xr:revisionPtr revIDLastSave="0" documentId="13_ncr:1_{A7DA4EF3-233A-4431-9D8E-5961A3726719}" xr6:coauthVersionLast="47" xr6:coauthVersionMax="47" xr10:uidLastSave="{00000000-0000-0000-0000-000000000000}"/>
  <bookViews>
    <workbookView xWindow="-120" yWindow="-120" windowWidth="38640" windowHeight="23520" tabRatio="644" activeTab="1" xr2:uid="{00000000-000D-0000-FFFF-FFFF00000000}"/>
  </bookViews>
  <sheets>
    <sheet name="Dashboard" sheetId="12" r:id="rId1"/>
    <sheet name="Риск" sheetId="1" r:id="rId2"/>
    <sheet name="Оценка" sheetId="8" r:id="rId3"/>
    <sheet name="Контрмеры" sheetId="10" state="hidden" r:id="rId4"/>
    <sheet name="Теория" sheetId="3" r:id="rId5"/>
    <sheet name="Manual" sheetId="5" state="hidden" r:id="rId6"/>
    <sheet name="Objectives" sheetId="11" state="hidden" r:id="rId7"/>
    <sheet name="Эскалация" sheetId="7" state="hidden" r:id="rId8"/>
    <sheet name="Оценка риска" sheetId="6" state="hidden" r:id="rId9"/>
    <sheet name="Lists" sheetId="4" state="hidden" r:id="rId10"/>
    <sheet name="History" sheetId="2" state="hidden" r:id="rId11"/>
  </sheets>
  <definedNames>
    <definedName name="Cl" localSheetId="9">Lists!#REF!</definedName>
    <definedName name="SClass">OFFSET(Lists!$B$1,MATCH(Риск!#REF!,Lists!$A:$A,0)-1,1,COUNTIF(Lists!$A:$A,Lists!$T$10),1)</definedName>
    <definedName name="ВерВес">Lists!$S$4:$T$14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8" i="8" l="1"/>
  <c r="D5" i="12"/>
  <c r="E8" i="11" l="1"/>
  <c r="E7" i="11"/>
  <c r="E6" i="11"/>
  <c r="E12" i="12" l="1"/>
  <c r="D12" i="12"/>
  <c r="C12" i="12"/>
  <c r="E14" i="12" l="1"/>
  <c r="E15" i="12"/>
  <c r="E13" i="12"/>
  <c r="D14" i="12"/>
  <c r="D15" i="12"/>
  <c r="D13" i="12"/>
  <c r="C14" i="12"/>
  <c r="C15" i="12"/>
  <c r="C13" i="12"/>
  <c r="F4" i="12"/>
  <c r="F3" i="12"/>
  <c r="F8" i="12"/>
  <c r="F7" i="12"/>
  <c r="F6" i="12"/>
  <c r="K8" i="12"/>
  <c r="J8" i="12"/>
  <c r="K7" i="12"/>
  <c r="J7" i="12"/>
  <c r="K6" i="12"/>
  <c r="J6" i="12"/>
  <c r="B3" i="12"/>
  <c r="C1" i="12"/>
  <c r="F13" i="12" l="1"/>
  <c r="F15" i="12"/>
  <c r="F14" i="12"/>
  <c r="D9" i="12"/>
  <c r="D8" i="12"/>
  <c r="D7" i="12"/>
  <c r="D4" i="12" l="1"/>
  <c r="D3" i="12"/>
  <c r="E5" i="11" l="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3" i="11"/>
  <c r="E4" i="11"/>
  <c r="E105" i="8" l="1"/>
  <c r="E104" i="8"/>
  <c r="E103" i="8"/>
  <c r="E102" i="8"/>
  <c r="E115" i="1"/>
  <c r="E114" i="1"/>
  <c r="E113" i="1"/>
  <c r="E112" i="1"/>
  <c r="E106" i="8" l="1"/>
  <c r="D10" i="12" s="1"/>
  <c r="E116" i="1"/>
  <c r="O4" i="4" l="1"/>
  <c r="O5" i="4"/>
  <c r="O6" i="4"/>
  <c r="O7" i="4"/>
  <c r="O8" i="4"/>
  <c r="O3" i="4"/>
  <c r="U5" i="4"/>
  <c r="U6" i="4"/>
  <c r="U7" i="4"/>
  <c r="U8" i="4"/>
  <c r="U9" i="4"/>
  <c r="U10" i="4"/>
  <c r="U11" i="4"/>
  <c r="U12" i="4"/>
  <c r="U13" i="4"/>
  <c r="U14" i="4"/>
  <c r="U3" i="4"/>
  <c r="U4" i="4"/>
  <c r="L3" i="4"/>
  <c r="L4" i="4"/>
  <c r="L5" i="4"/>
  <c r="L6" i="4"/>
  <c r="L7" i="4"/>
  <c r="L8" i="4"/>
  <c r="L9" i="4"/>
  <c r="L10" i="4"/>
  <c r="L11" i="4"/>
  <c r="L12" i="4"/>
  <c r="R3" i="4"/>
  <c r="R4" i="4"/>
  <c r="R6" i="4"/>
  <c r="R7" i="4"/>
  <c r="R8" i="4"/>
  <c r="R5" i="4"/>
  <c r="G6" i="4" l="1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5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Mironov, Alexandr (VW Group Rus)</author>
  </authors>
  <commentList>
    <comment ref="B3" authorId="0" shapeId="0" xr:uid="{00000000-0006-0000-0100-000001000000}">
      <text>
        <r>
          <rPr>
            <sz val="9"/>
            <color indexed="81"/>
            <rFont val="Tahoma"/>
            <family val="2"/>
            <charset val="204"/>
          </rPr>
          <t>Короткое, ёмкое, понятное для всех 
наименование риска
Например: Аварийное отключение ИТ оборудования</t>
        </r>
      </text>
    </comment>
    <comment ref="B4" authorId="0" shapeId="0" xr:uid="{00000000-0006-0000-0100-000002000000}">
      <text>
        <r>
          <rPr>
            <sz val="9"/>
            <color indexed="81"/>
            <rFont val="Tahoma"/>
            <family val="2"/>
            <charset val="204"/>
          </rPr>
          <t xml:space="preserve">Опишите объект риска. Это может быть проект, процесс, ИТ-система и т.п.
Исходя из источника риска определяются ответственный за риск и применение контрмер.
Например: клиентское оборудование
</t>
        </r>
      </text>
    </comment>
    <comment ref="B5" authorId="0" shapeId="0" xr:uid="{00000000-0006-0000-0100-00000F000000}">
      <text>
        <r>
          <rPr>
            <sz val="9"/>
            <color indexed="81"/>
            <rFont val="Tahoma"/>
            <family val="2"/>
            <charset val="204"/>
          </rPr>
          <t>Имена не указываются, только подразделение и функция. 
(Непосредственный руководитель, Владелец сервиса, Руководитель проекта и т.п.)</t>
        </r>
      </text>
    </comment>
    <comment ref="B6" authorId="0" shapeId="0" xr:uid="{00000000-0006-0000-0100-000007000000}">
      <text>
        <r>
          <rPr>
            <sz val="9"/>
            <color indexed="81"/>
            <rFont val="Tahoma"/>
            <family val="2"/>
            <charset val="204"/>
          </rPr>
          <t xml:space="preserve">Определите предпосылки, причины возникновения, последующее событие (риск), последствия. см.лист Details
 При необходимости, добавьте строки Copy/Paste
Например,
Причина 1 : Перебой подачи электропитания на внешних электросетях
Причина 2 : Неисправность заводского силового оборудования
Причина 3 : Ошибки в ходе обслуживающих работ
Событие: Аварийное выключение ИТ оборудования, в т.ч. рабочие станции, принтеры, расположенные на производстве.
Последствие 1 : Простой производства
Последствие 2 : Ремонт ИТ оборудования
Последствие 3 : Замена ИТ оборудования </t>
        </r>
      </text>
    </comment>
    <comment ref="B7" authorId="0" shapeId="0" xr:uid="{00000000-0006-0000-0100-000008000000}">
      <text>
        <r>
          <rPr>
            <sz val="9"/>
            <color indexed="81"/>
            <rFont val="Tahoma"/>
            <family val="2"/>
            <charset val="204"/>
          </rPr>
          <t>Перчислите причины, который могут привести к реализации риска</t>
        </r>
      </text>
    </comment>
    <comment ref="C7" authorId="0" shapeId="0" xr:uid="{00000000-0006-0000-0100-000009000000}">
      <text>
        <r>
          <rPr>
            <sz val="9"/>
            <color indexed="81"/>
            <rFont val="Tahoma"/>
            <family val="2"/>
            <charset val="204"/>
          </rPr>
          <t xml:space="preserve">Определите вероятность срабатывания риска из-за текущей причины 
Период оценки - ближайший год:
low - до 25% (не более 1 раз в 4 года)
middle - до 50% (не более 1 раз в 2 года)
high - до 75% ( 1 раз в 1-2 года)
very high - 75 % и более (1 раз в год) </t>
        </r>
      </text>
    </comment>
    <comment ref="D7" authorId="0" shapeId="0" xr:uid="{00000000-0006-0000-0100-00000A000000}">
      <text>
        <r>
          <rPr>
            <sz val="9"/>
            <color indexed="81"/>
            <rFont val="Tahoma"/>
            <family val="2"/>
            <charset val="204"/>
          </rPr>
          <t>Опишите основное событие, риск, которое обусловлено перечисленными причинами и приводит к последствиям</t>
        </r>
      </text>
    </comment>
    <comment ref="E7" authorId="0" shapeId="0" xr:uid="{00000000-0006-0000-0100-00000B000000}">
      <text>
        <r>
          <rPr>
            <sz val="9"/>
            <color indexed="81"/>
            <rFont val="Tahoma"/>
            <family val="2"/>
            <charset val="204"/>
          </rPr>
          <t xml:space="preserve">Перечислите возможные последствия, которые вызовет реализация описанного риска
</t>
        </r>
      </text>
    </comment>
    <comment ref="F7" authorId="0" shapeId="0" xr:uid="{00000000-0006-0000-0100-00000C000000}">
      <text>
        <r>
          <rPr>
            <sz val="9"/>
            <color indexed="81"/>
            <rFont val="Tahoma"/>
            <family val="2"/>
            <charset val="204"/>
          </rPr>
          <t>Оцените влияние  следствия риска на ценности ИБ:
very high - все 4 ценности информации на указанном объекте риска будут повреждены или уничтожены
high - 2 из четырех ценностей на указанном объекте риска будут повреждены или уничтожены
middle - 1 из 4 ценностей на указанном объекте повреждена или уничтожена
low - влияние на ценности  информации незначительны</t>
        </r>
      </text>
    </comment>
    <comment ref="B16" authorId="0" shapeId="0" xr:uid="{00000000-0006-0000-0100-00000D000000}">
      <text>
        <r>
          <rPr>
            <sz val="9"/>
            <color indexed="81"/>
            <rFont val="Tahoma"/>
            <family val="2"/>
            <charset val="204"/>
          </rPr>
          <t>Укажете максимальную (из выявленных) вероятность появления причины. Она будет перенесена в поле "Probabbiliy" риска на листе"Assessment&amp;Management</t>
        </r>
      </text>
    </comment>
    <comment ref="E16" authorId="0" shapeId="0" xr:uid="{00000000-0006-0000-0100-00000E000000}">
      <text>
        <r>
          <rPr>
            <sz val="9"/>
            <color indexed="81"/>
            <rFont val="Tahoma"/>
            <family val="2"/>
            <charset val="204"/>
          </rPr>
          <t>Укажите максимальный уровень влияния (из выявленных). Он будет пренесен в поле "Impact" на листе "Assesment&amp;Management"</t>
        </r>
      </text>
    </comment>
    <comment ref="B17" authorId="0" shapeId="0" xr:uid="{6FCF76AC-0325-4854-949C-B7365041C48B}">
      <text>
        <r>
          <rPr>
            <sz val="9"/>
            <color indexed="81"/>
            <rFont val="Tahoma"/>
            <family val="2"/>
            <charset val="204"/>
          </rPr>
          <t>Конфиденциальность, целостность и доступность называют основной триадой информационной безопасности (КЦД - CIA, Confidentiality, Integrity, and Availability), являющейся краеугольным камнем концепции информационной безопасности.
Конфиденциальность
Конфиденциальность направлена на предотвращение несанкционированного раскрытия информации, на сохранение данных в секрете. Другими словами, стремление к конфиденциальности - это стремление к предотвращению несанкционированного чтения данных. Примером атаки на конфиденциальность может служить кража персональных данных (ПДн) / личной информации (PII - personally identifiable information), например данных кредитной карты.
Целостность
Целостность направлена на предотвращение несанкционированной модификации информации. Иными словами, стремление к целостности - это стремление к предотвращению несанкционированной записи данных.
ВАЖНО: Существует два вида целостности: обеспечение целостности данных и целостности системы. Целостность данных направлена на защиту от несанкционированной модификации информации, а целостность системы - на защиту системы, например, операционной системы или базы данных от несанкционированных изменений в них самих.
Доступность
Доступность гарантирует, что будет возможность получить доступ к информации в любой момент, когда она только потребуется. Системы должны быть доступны для нормального их использования. Примером атаки на доступность является атака типа «отказ в обслуживании» (DoS - denial of service), которая направлена на то, чтобы сделать сервис недоступным для использования.</t>
        </r>
      </text>
    </comment>
    <comment ref="B18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Конфиденциальность</t>
        </r>
        <r>
          <rPr>
            <sz val="9"/>
            <color indexed="81"/>
            <rFont val="Tahoma"/>
            <family val="2"/>
            <charset val="204"/>
          </rPr>
          <t xml:space="preserve"> - свойство информации, при котором к ней обеспечивается доступ только тех пользователей, которые имеют на это право. Информацию знают только те пользователи, которые имеют право ее знать.
</t>
        </r>
      </text>
    </comment>
    <comment ref="B19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Целостность</t>
        </r>
        <r>
          <rPr>
            <sz val="9"/>
            <color indexed="81"/>
            <rFont val="Tahoma"/>
            <family val="2"/>
            <charset val="204"/>
          </rPr>
          <t xml:space="preserve">  свойство информации, при котором обеспечивается существование информации в неискаженном виде. Все действия над информацией согласованы с её владельцем, их могут выполнять только уполномоченные пользователи и средства об-работки информации.</t>
        </r>
      </text>
    </comment>
    <comment ref="B20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Доступность</t>
        </r>
        <r>
          <rPr>
            <sz val="9"/>
            <color indexed="81"/>
            <rFont val="Tahoma"/>
            <family val="2"/>
            <charset val="204"/>
          </rPr>
          <t xml:space="preserve">  свойство соответствия информации или информационного актива предусмотренному поведению и результатам. Информация содержит только то, что предусмотрено, информационный актив работает так, как заявлено.
</t>
        </r>
      </text>
    </comment>
    <comment ref="B21" authorId="0" shapeId="0" xr:uid="{D57C46DE-54C2-4233-95FC-985617D2F09B}">
      <text>
        <r>
          <rPr>
            <b/>
            <sz val="9"/>
            <color indexed="81"/>
            <rFont val="Tahoma"/>
            <family val="2"/>
            <charset val="204"/>
          </rPr>
          <t>Достоверность</t>
        </r>
        <r>
          <rPr>
            <sz val="9"/>
            <color indexed="81"/>
            <rFont val="Tahoma"/>
            <family val="2"/>
            <charset val="204"/>
          </rPr>
          <t xml:space="preserve"> - свойство соответствия информации или информационного актива предусмотренному поведению и результатам. Информация содержит только то, что предусмотрено, информационный актив работает так, как заявлено.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Mironov, Alexandr (VW Group Rus)</author>
  </authors>
  <commentList>
    <comment ref="B3" authorId="0" shapeId="0" xr:uid="{00000000-0006-0000-0200-000001000000}">
      <text>
        <r>
          <rPr>
            <sz val="9"/>
            <color indexed="81"/>
            <rFont val="Tahoma"/>
            <family val="2"/>
            <charset val="204"/>
          </rPr>
          <t xml:space="preserve">Оцените вероятность наступления события (реализации риска) в текущем состоянии. Период оценки - год.
За основу оценки возьмите вероятность наступления причин на листе "Риск"
</t>
        </r>
      </text>
    </comment>
    <comment ref="B4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 xml:space="preserve">Оцените влияние  следствия риска на ценности ИБ:
</t>
        </r>
        <r>
          <rPr>
            <sz val="9"/>
            <color indexed="81"/>
            <rFont val="Tahoma"/>
            <family val="2"/>
            <charset val="204"/>
          </rPr>
          <t>very high - все 4 ценности информации на указанном объекте риска будут повреждены или уничтожены
high - 2 из четырех ценностей на указанном объекте риска будут повреждены или уничтожены
middle - 1 из 4 ценностей на указанном объекте повреждена или уничтожена
low - влияние на ценности  информации незначительны</t>
        </r>
      </text>
    </comment>
    <comment ref="B5" authorId="0" shapeId="0" xr:uid="{00000000-0006-0000-0200-000003000000}">
      <text>
        <r>
          <rPr>
            <sz val="9"/>
            <color indexed="81"/>
            <rFont val="Tahoma"/>
            <family val="2"/>
            <charset val="204"/>
          </rPr>
          <t xml:space="preserve">Материальный ущерб отражает сумму возможных прямых и косвенных затрат, которые понесет ГК Пандора в случае  реализации ИТ-риска.
1.Определите и составьте список всех возможных последствий риска
2.Оцените их как потенциальные источники материального ущерба, определите прямые и косвенные затраты, вызванные каждым последствием
3. Сложите полученный ущербы и укажите сумму
Вспомогательные вопросы(примеры):
► Какие дополнительные расходы возникнут (например, покупка оборудования, доп.работы, простой производства)?
► Какие стандарты нарушены (законы, нормативные акты)? Приведет ли это к санкциям, штрафам, платежам в качестве компенсации за ущерб, нанесенный клиентам, кроме уголовного преследования? 
► Учитывались ли уже эти расходы (например, при планировании) или они относятся к незапланированным расходам?
► Насколько сократится прибыль с учетом ожидаемых убытков от продаж и дополнительных расходов?
</t>
        </r>
      </text>
    </comment>
    <comment ref="B6" authorId="0" shapeId="0" xr:uid="{00000000-0006-0000-0200-000004000000}">
      <text>
        <r>
          <rPr>
            <b/>
            <sz val="9"/>
            <color indexed="81"/>
            <rFont val="Tahoma"/>
            <family val="2"/>
            <charset val="204"/>
          </rPr>
          <t>«нет»</t>
        </r>
        <r>
          <rPr>
            <sz val="9"/>
            <color indexed="81"/>
            <rFont val="Tahoma"/>
            <family val="2"/>
            <charset val="204"/>
          </rPr>
          <t xml:space="preserve"> = Отрицательное влияние отсутствует
</t>
        </r>
        <r>
          <rPr>
            <b/>
            <sz val="9"/>
            <color indexed="81"/>
            <rFont val="Tahoma"/>
            <family val="2"/>
            <charset val="204"/>
          </rPr>
          <t>«кризис доверия» (локальный уровень)</t>
        </r>
        <r>
          <rPr>
            <sz val="9"/>
            <color indexed="81"/>
            <rFont val="Tahoma"/>
            <family val="2"/>
            <charset val="204"/>
          </rPr>
          <t xml:space="preserve"> = Негативные сообщения о работе  предприятия в местных СМИ приводят к тому, что на короткий период времени клиенты/партнеры частично теряют доверие к компании
</t>
        </r>
        <r>
          <rPr>
            <b/>
            <sz val="9"/>
            <color indexed="81"/>
            <rFont val="Tahoma"/>
            <family val="2"/>
            <charset val="204"/>
          </rPr>
          <t>«длительная потеря доверия» (локальный уровень)</t>
        </r>
        <r>
          <rPr>
            <sz val="9"/>
            <color indexed="81"/>
            <rFont val="Tahoma"/>
            <family val="2"/>
            <charset val="204"/>
          </rPr>
          <t xml:space="preserve"> = Негативные сообщения в местных СМИ приводят к постоянной/долгосрочной потере доверия к ГК Пандора
</t>
        </r>
        <r>
          <rPr>
            <b/>
            <sz val="9"/>
            <color indexed="81"/>
            <rFont val="Tahoma"/>
            <family val="2"/>
            <charset val="204"/>
          </rPr>
          <t>«потеря репутации (на региональном уровне)»</t>
        </r>
        <r>
          <rPr>
            <sz val="9"/>
            <color indexed="81"/>
            <rFont val="Tahoma"/>
            <family val="2"/>
            <charset val="204"/>
          </rPr>
          <t xml:space="preserve"> = Негативные сообщения вызывают постоянную/долгосрочную потерю репутации ГК Пандора и ее партнеров, работающих на соответствующем региональном рынке (нанесение ущерба имиджу и бренду)
</t>
        </r>
        <r>
          <rPr>
            <b/>
            <sz val="9"/>
            <color indexed="81"/>
            <rFont val="Tahoma"/>
            <family val="2"/>
            <charset val="204"/>
          </rPr>
          <t>«потеря репутации (на международном уровне)»</t>
        </r>
        <r>
          <rPr>
            <sz val="9"/>
            <color indexed="81"/>
            <rFont val="Tahoma"/>
            <family val="2"/>
            <charset val="204"/>
          </rPr>
          <t xml:space="preserve"> = Негативные сообщения приводят к постоянной/долгосрочной потере репутации ГК Пандора на международном уровне (нанесение ущерба имиджу и бренду) </t>
        </r>
      </text>
    </comment>
    <comment ref="B7" authorId="0" shapeId="0" xr:uid="{00000000-0006-0000-0200-000005000000}">
      <text>
        <r>
          <rPr>
            <b/>
            <sz val="9"/>
            <color indexed="81"/>
            <rFont val="Tahoma"/>
            <family val="2"/>
            <charset val="204"/>
          </rPr>
          <t>Не соблюдаются требования государственного законодательства(законы, стандарты...), что может повлечь за собой уголовную ответственность. Варианты оценки:
«нет»</t>
        </r>
        <r>
          <rPr>
            <sz val="9"/>
            <color indexed="81"/>
            <rFont val="Tahoma"/>
            <family val="2"/>
            <charset val="204"/>
          </rPr>
          <t xml:space="preserve">= Не релевантно
</t>
        </r>
        <r>
          <rPr>
            <b/>
            <sz val="9"/>
            <color indexed="81"/>
            <rFont val="Tahoma"/>
            <family val="2"/>
            <charset val="204"/>
          </rPr>
          <t>«незначительная» (локальный уровень)</t>
        </r>
        <r>
          <rPr>
            <sz val="9"/>
            <color indexed="81"/>
            <rFont val="Tahoma"/>
            <family val="2"/>
            <charset val="204"/>
          </rPr>
          <t xml:space="preserve"> = Уголовное расследование с незначительными последствиями  в отношении</t>
        </r>
        <r>
          <rPr>
            <b/>
            <sz val="9"/>
            <color indexed="81"/>
            <rFont val="Tahoma"/>
            <family val="2"/>
            <charset val="204"/>
          </rPr>
          <t xml:space="preserve"> сотрудников / руководителя подразделения локального предприятия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«средняя» (локальный уровень)</t>
        </r>
        <r>
          <rPr>
            <sz val="9"/>
            <color indexed="81"/>
            <rFont val="Tahoma"/>
            <family val="2"/>
            <charset val="204"/>
          </rPr>
          <t xml:space="preserve"> = Уголовное расследование, несущее значительные последствия для</t>
        </r>
        <r>
          <rPr>
            <b/>
            <sz val="9"/>
            <color indexed="81"/>
            <rFont val="Tahoma"/>
            <family val="2"/>
            <charset val="204"/>
          </rPr>
          <t xml:space="preserve"> сотрудников/руководства локального предприятия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«крупная» (уровень бизнес направления)</t>
        </r>
        <r>
          <rPr>
            <sz val="9"/>
            <color indexed="81"/>
            <rFont val="Tahoma"/>
            <family val="2"/>
            <charset val="204"/>
          </rPr>
          <t xml:space="preserve"> = Уголовное расследование  (в рамках конкретного раздела уголовного права) в отношении </t>
        </r>
        <r>
          <rPr>
            <b/>
            <sz val="9"/>
            <color indexed="81"/>
            <rFont val="Tahoma"/>
            <family val="2"/>
            <charset val="204"/>
          </rPr>
          <t>директора предприятия</t>
        </r>
        <r>
          <rPr>
            <sz val="9"/>
            <color indexed="81"/>
            <rFont val="Tahoma"/>
            <family val="2"/>
            <charset val="204"/>
          </rPr>
          <t xml:space="preserve">, отвечающего за направление бизнеса
</t>
        </r>
        <r>
          <rPr>
            <b/>
            <sz val="9"/>
            <color indexed="81"/>
            <rFont val="Tahoma"/>
            <family val="2"/>
            <charset val="204"/>
          </rPr>
          <t>«особо крупная» (уровень группы компаний)</t>
        </r>
        <r>
          <rPr>
            <sz val="9"/>
            <color indexed="81"/>
            <rFont val="Tahoma"/>
            <family val="2"/>
            <charset val="204"/>
          </rPr>
          <t xml:space="preserve"> = Уголовное расследование  (в рамках конкретного раздела уголовного права, направленное против </t>
        </r>
        <r>
          <rPr>
            <b/>
            <sz val="9"/>
            <color indexed="81"/>
            <rFont val="Tahoma"/>
            <family val="2"/>
            <charset val="204"/>
          </rPr>
          <t>всего высшего</t>
        </r>
        <r>
          <rPr>
            <sz val="9"/>
            <color indexed="81"/>
            <rFont val="Tahoma"/>
            <family val="2"/>
            <charset val="204"/>
          </rPr>
          <t xml:space="preserve"> </t>
        </r>
        <r>
          <rPr>
            <b/>
            <sz val="9"/>
            <color indexed="81"/>
            <rFont val="Tahoma"/>
            <family val="2"/>
            <charset val="204"/>
          </rPr>
          <t>руководства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8" authorId="0" shapeId="0" xr:uid="{00000000-0006-0000-0200-000006000000}">
      <text>
        <r>
          <rPr>
            <b/>
            <sz val="9"/>
            <color indexed="81"/>
            <rFont val="Tahoma"/>
            <family val="2"/>
            <charset val="204"/>
          </rPr>
          <t>Расчетное поле.</t>
        </r>
        <r>
          <rPr>
            <sz val="9"/>
            <color indexed="81"/>
            <rFont val="Tahoma"/>
            <family val="2"/>
            <charset val="204"/>
          </rPr>
          <t xml:space="preserve">
Здесь рассчитана текущая оценка риска без применения контрмер. Вероятность*(Мат.ущерб*(Репутация+Правовая отв.)/2)</t>
        </r>
      </text>
    </comment>
    <comment ref="B9" authorId="0" shapeId="0" xr:uid="{00000000-0006-0000-0200-000007000000}">
      <text>
        <r>
          <rPr>
            <sz val="9"/>
            <color indexed="81"/>
            <rFont val="Tahoma"/>
            <family val="2"/>
            <charset val="204"/>
          </rPr>
          <t>За оценку риска отвечает сотрудник Пандора. Эту ответственность нельзя делегировать внешней компании.
Опишите способ оценки, источники данных, расчеты, условия и допущения, применяемые для оценки риска в состоянии "как есть"</t>
        </r>
      </text>
    </comment>
    <comment ref="B10" authorId="0" shapeId="0" xr:uid="{00000000-0006-0000-0200-000008000000}">
      <text>
        <r>
          <rPr>
            <sz val="9"/>
            <color indexed="81"/>
            <rFont val="Tahoma"/>
            <family val="2"/>
            <charset val="204"/>
          </rPr>
          <t>Конфиденциа́льность (от лат. confidentia — доверие) — необходимость предотвращения разглашения, утечки какой-либо информации.</t>
        </r>
        <r>
          <rPr>
            <b/>
            <sz val="9"/>
            <color indexed="81"/>
            <rFont val="Tahoma"/>
            <family val="2"/>
            <charset val="204"/>
          </rPr>
          <t xml:space="preserve"> </t>
        </r>
      </text>
    </comment>
    <comment ref="B11" authorId="0" shapeId="0" xr:uid="{00000000-0006-0000-0200-000009000000}">
      <text>
        <r>
          <rPr>
            <sz val="9"/>
            <color indexed="81"/>
            <rFont val="Tahoma"/>
            <family val="2"/>
            <charset val="204"/>
          </rPr>
          <t>Целостность информации —  означает, что данные полны и не будут изменены при выполнении любой операции над ними, будь то передача, хранение или представление.</t>
        </r>
      </text>
    </comment>
    <comment ref="B12" authorId="0" shapeId="0" xr:uid="{00000000-0006-0000-0200-00000A000000}">
      <text>
        <r>
          <rPr>
            <sz val="9"/>
            <color indexed="81"/>
            <rFont val="Tahoma"/>
            <family val="2"/>
            <charset val="204"/>
          </rPr>
          <t>Доступность информации — состояние информации (ресурсов автоматизированной информационной системы), при котором субъекты, имеющие права доступа, могут беспрепятственно реализовывать эти права.</t>
        </r>
      </text>
    </comment>
    <comment ref="B14" authorId="0" shapeId="0" xr:uid="{00000000-0006-0000-0200-00000B000000}">
      <text>
        <r>
          <rPr>
            <sz val="9"/>
            <color indexed="81"/>
            <rFont val="Tahoma"/>
            <family val="2"/>
            <charset val="204"/>
          </rPr>
          <t xml:space="preserve">Выберите из списка
- </t>
        </r>
        <r>
          <rPr>
            <b/>
            <sz val="9"/>
            <color indexed="81"/>
            <rFont val="Tahoma"/>
            <family val="2"/>
            <charset val="204"/>
          </rPr>
          <t>Устранение риска:</t>
        </r>
        <r>
          <rPr>
            <sz val="9"/>
            <color indexed="81"/>
            <rFont val="Tahoma"/>
            <family val="2"/>
            <charset val="204"/>
          </rPr>
          <t xml:space="preserve"> Устранить ситуацию, приводящую к срабатыванию риска.
-</t>
        </r>
        <r>
          <rPr>
            <b/>
            <sz val="9"/>
            <color indexed="81"/>
            <rFont val="Tahoma"/>
            <family val="2"/>
            <charset val="204"/>
          </rPr>
          <t xml:space="preserve"> Уменьшение риска:</t>
        </r>
        <r>
          <rPr>
            <sz val="9"/>
            <color indexed="81"/>
            <rFont val="Tahoma"/>
            <family val="2"/>
            <charset val="204"/>
          </rPr>
          <t xml:space="preserve"> Уменьшить вероятность возникновения риска или размер материальной потери
</t>
        </r>
        <r>
          <rPr>
            <b/>
            <sz val="9"/>
            <color indexed="81"/>
            <rFont val="Tahoma"/>
            <family val="2"/>
            <charset val="204"/>
          </rPr>
          <t>- Передача/перенос риска:</t>
        </r>
        <r>
          <rPr>
            <sz val="9"/>
            <color indexed="81"/>
            <rFont val="Tahoma"/>
            <family val="2"/>
            <charset val="204"/>
          </rPr>
          <t xml:space="preserve"> Передача риска третьему лицу, например, путем страхования или передачи  деятельности стороннему поставщику услуг. 
</t>
        </r>
        <r>
          <rPr>
            <b/>
            <sz val="9"/>
            <color indexed="81"/>
            <rFont val="Tahoma"/>
            <family val="2"/>
            <charset val="204"/>
          </rPr>
          <t xml:space="preserve">- Принятие риска: </t>
        </r>
        <r>
          <rPr>
            <sz val="9"/>
            <color indexed="81"/>
            <rFont val="Tahoma"/>
            <family val="2"/>
            <charset val="204"/>
          </rPr>
          <t xml:space="preserve">Принять возможность реализации риска с учетом оцененных последствий. Например, когда вероятность и влияние риска низки или выбор одного из других вариантов реагирования на риск дороже, чем материальная потеря в случае реализации риска.
</t>
        </r>
      </text>
    </comment>
    <comment ref="B15" authorId="0" shapeId="0" xr:uid="{00000000-0006-0000-0200-00000F000000}">
      <text>
        <r>
          <rPr>
            <sz val="9"/>
            <color indexed="81"/>
            <rFont val="Tahoma"/>
            <family val="2"/>
            <charset val="204"/>
          </rPr>
          <t>Рейтинг риска  заполняется при регистрации и  каждый раз после пересмотра риска. Он определяет приоритет риска, по сравнению с другими</t>
        </r>
      </text>
    </comment>
    <comment ref="B16" authorId="0" shapeId="0" xr:uid="{00000000-0006-0000-0200-000010000000}">
      <text>
        <r>
          <rPr>
            <sz val="9"/>
            <color indexed="81"/>
            <rFont val="Tahoma"/>
            <family val="2"/>
            <charset val="204"/>
          </rPr>
          <t>Укажите дату регистрации риска</t>
        </r>
      </text>
    </comment>
    <comment ref="B17" authorId="0" shapeId="0" xr:uid="{00000000-0006-0000-0200-000011000000}">
      <text>
        <r>
          <rPr>
            <sz val="9"/>
            <color indexed="81"/>
            <rFont val="Tahoma"/>
            <family val="2"/>
            <charset val="204"/>
          </rPr>
          <t>Дата следующей проверки риска. Цель проверки - проверить актуальность риска: причины, оценка, приоритет и стратегия обработки.</t>
        </r>
      </text>
    </comment>
    <comment ref="B18" authorId="0" shapeId="0" xr:uid="{00000000-0006-0000-0200-000012000000}">
      <text>
        <r>
          <rPr>
            <sz val="9"/>
            <color indexed="81"/>
            <rFont val="Tahoma"/>
            <family val="2"/>
            <charset val="204"/>
          </rPr>
          <t>Заполняется ответственным за риск. Он назначает ответственных за дальнейшую обработку риска. С целью качественной проработки риска, возможно потребуется несколько сотрудников из разных профильных областей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Mironov, Alexandr (VW Group Rus)</author>
  </authors>
  <commentList>
    <comment ref="B5" authorId="0" shapeId="0" xr:uid="{00000000-0006-0000-0300-000001000000}">
      <text>
        <r>
          <rPr>
            <sz val="9"/>
            <color indexed="81"/>
            <rFont val="Tahoma"/>
            <family val="2"/>
            <charset val="204"/>
          </rPr>
          <t>Укажите причину риска, накоторую разрабатывается контрмера</t>
        </r>
      </text>
    </comment>
    <comment ref="B7" authorId="0" shapeId="0" xr:uid="{00000000-0006-0000-0300-000002000000}">
      <text>
        <r>
          <rPr>
            <sz val="9"/>
            <color indexed="81"/>
            <rFont val="Tahoma"/>
            <family val="2"/>
            <charset val="204"/>
          </rPr>
          <t>Короткое, ёмкое название контрмеры</t>
        </r>
      </text>
    </comment>
    <comment ref="B8" authorId="0" shapeId="0" xr:uid="{00000000-0006-0000-0300-000003000000}">
      <text>
        <r>
          <rPr>
            <sz val="9"/>
            <color indexed="81"/>
            <rFont val="Tahoma"/>
            <family val="2"/>
            <charset val="204"/>
          </rPr>
          <t>Владелец контрмеры - руководитель подразделения, ответственный за область , в которой внедряется контрмера. Без персональных данных. Только позиция</t>
        </r>
      </text>
    </comment>
    <comment ref="B9" authorId="0" shapeId="0" xr:uid="{00000000-0006-0000-0300-000004000000}">
      <text>
        <r>
          <rPr>
            <sz val="9"/>
            <color indexed="81"/>
            <rFont val="Tahoma"/>
            <family val="2"/>
            <charset val="204"/>
          </rPr>
          <t>Опишите подробно и понятно для всех участников процесса применяемую контрмеру. Кто(должность/подразделение) Что? (Что делает для уменьшения риска?) Когда?. 
Цель, необходимые действия, контрольные точки</t>
        </r>
      </text>
    </comment>
    <comment ref="B10" authorId="0" shapeId="0" xr:uid="{00000000-0006-0000-0300-000005000000}">
      <text>
        <r>
          <rPr>
            <sz val="9"/>
            <color indexed="81"/>
            <rFont val="Tahoma"/>
            <family val="2"/>
            <charset val="204"/>
          </rPr>
          <t>Наиболее эффективная контрмера имеет наивысший приоритет. 
См. причины риска на листе Risk description</t>
        </r>
      </text>
    </comment>
    <comment ref="B11" authorId="0" shapeId="0" xr:uid="{00000000-0006-0000-0300-000006000000}">
      <text>
        <r>
          <rPr>
            <sz val="9"/>
            <color indexed="81"/>
            <rFont val="Tahoma"/>
            <family val="2"/>
            <charset val="204"/>
          </rPr>
          <t>Укажите текущий статус контрмеры</t>
        </r>
      </text>
    </comment>
    <comment ref="B12" authorId="0" shapeId="0" xr:uid="{00000000-0006-0000-0300-000007000000}">
      <text>
        <r>
          <rPr>
            <sz val="9"/>
            <color indexed="81"/>
            <rFont val="Tahoma"/>
            <family val="2"/>
            <charset val="204"/>
          </rPr>
          <t>Укажите запланированную дату окончания внедрения контрмеры</t>
        </r>
      </text>
    </comment>
    <comment ref="B15" authorId="0" shapeId="0" xr:uid="{00000000-0006-0000-0300-000008000000}">
      <text>
        <r>
          <rPr>
            <sz val="9"/>
            <color indexed="81"/>
            <rFont val="Tahoma"/>
            <family val="2"/>
            <charset val="204"/>
          </rPr>
          <t>Укажите требуемый бюджет в Евро (расчет по текущему курсу), необходимый для внедрения контрмеры</t>
        </r>
      </text>
    </comment>
    <comment ref="B16" authorId="0" shapeId="0" xr:uid="{00000000-0006-0000-0300-000009000000}">
      <text>
        <r>
          <rPr>
            <sz val="9"/>
            <color indexed="81"/>
            <rFont val="Tahoma"/>
            <family val="2"/>
            <charset val="204"/>
          </rPr>
          <t xml:space="preserve">Укажите количество специалистов, требуемое для выполнения меры
</t>
        </r>
      </text>
    </comment>
    <comment ref="B17" authorId="0" shapeId="0" xr:uid="{00000000-0006-0000-0300-00000A000000}">
      <text>
        <r>
          <rPr>
            <sz val="9"/>
            <color indexed="81"/>
            <rFont val="Tahoma"/>
            <family val="2"/>
            <charset val="204"/>
          </rPr>
          <t xml:space="preserve">Укажите количество рабочего времени в часах(человек*час), требуемое для выполнения меры. </t>
        </r>
      </text>
    </comment>
    <comment ref="B19" authorId="0" shapeId="0" xr:uid="{00000000-0006-0000-0300-00000B000000}">
      <text>
        <r>
          <rPr>
            <sz val="9"/>
            <color indexed="81"/>
            <rFont val="Tahoma"/>
            <family val="2"/>
            <charset val="204"/>
          </rPr>
          <t>Опишите способ и порядок тестирования эффективности контрмеры. Кто(должность/подразделение) Что? (Что делает?) Когда?</t>
        </r>
      </text>
    </comment>
    <comment ref="B20" authorId="0" shapeId="0" xr:uid="{00000000-0006-0000-0300-00000C000000}">
      <text>
        <r>
          <rPr>
            <sz val="9"/>
            <color indexed="81"/>
            <rFont val="Tahoma"/>
            <family val="2"/>
            <charset val="204"/>
          </rPr>
          <t>Подтверждение эффективности.
Какое событие/факт/ документ подтверждает успешное окончание внедрения контрмеры</t>
        </r>
      </text>
    </comment>
    <comment ref="B21" authorId="0" shapeId="0" xr:uid="{00000000-0006-0000-0300-00000D000000}">
      <text>
        <r>
          <rPr>
            <sz val="9"/>
            <color indexed="81"/>
            <rFont val="Tahoma"/>
            <family val="2"/>
            <charset val="204"/>
          </rPr>
          <t>Как часто планируется проверять эффективность внедрения меры? Сколько раз в год? (количество/год)</t>
        </r>
      </text>
    </comment>
    <comment ref="B22" authorId="0" shapeId="0" xr:uid="{00000000-0006-0000-0300-00000E000000}">
      <text>
        <r>
          <rPr>
            <sz val="9"/>
            <color indexed="81"/>
            <rFont val="Tahoma"/>
            <family val="2"/>
            <charset val="204"/>
          </rPr>
          <t>Когда проводилась проверка эффективности последний раз? Для первичной регистрании можно указать "не проводилась"</t>
        </r>
      </text>
    </comment>
    <comment ref="B27" authorId="0" shapeId="0" xr:uid="{00000000-0006-0000-0300-00000F000000}">
      <text>
        <r>
          <rPr>
            <sz val="9"/>
            <color indexed="81"/>
            <rFont val="Tahoma"/>
            <family val="2"/>
            <charset val="204"/>
          </rPr>
          <t>Укажите причину риска, накоторую разрабатывается контрмера</t>
        </r>
      </text>
    </comment>
    <comment ref="B29" authorId="0" shapeId="0" xr:uid="{00000000-0006-0000-0300-000010000000}">
      <text>
        <r>
          <rPr>
            <sz val="9"/>
            <color indexed="81"/>
            <rFont val="Tahoma"/>
            <family val="2"/>
            <charset val="204"/>
          </rPr>
          <t>Короткое, ёмкое название контрмеры</t>
        </r>
      </text>
    </comment>
    <comment ref="B30" authorId="0" shapeId="0" xr:uid="{00000000-0006-0000-0300-000011000000}">
      <text>
        <r>
          <rPr>
            <sz val="9"/>
            <color indexed="81"/>
            <rFont val="Tahoma"/>
            <family val="2"/>
            <charset val="204"/>
          </rPr>
          <t>Владелец контрмеры - руководитель подразделения, ответственный за область , в которой внедряется контрмера. Без персональных данных. Только позиция</t>
        </r>
      </text>
    </comment>
    <comment ref="B31" authorId="0" shapeId="0" xr:uid="{00000000-0006-0000-0300-000012000000}">
      <text>
        <r>
          <rPr>
            <sz val="9"/>
            <color indexed="81"/>
            <rFont val="Tahoma"/>
            <family val="2"/>
            <charset val="204"/>
          </rPr>
          <t>Опишите подробно и понятно для всех участников процесса применяемую контрмеру. Кто(должность/подразделение) Что? (Что делает для уменьшения риска?) Когда?. 
Цель, необходимые действия, контрольные точки</t>
        </r>
      </text>
    </comment>
    <comment ref="B32" authorId="0" shapeId="0" xr:uid="{00000000-0006-0000-0300-000013000000}">
      <text>
        <r>
          <rPr>
            <sz val="9"/>
            <color indexed="81"/>
            <rFont val="Tahoma"/>
            <family val="2"/>
            <charset val="204"/>
          </rPr>
          <t>Наиболее эффективная контрмера имеет наивысший приоритет. 
См. причины риска на листе Risk description</t>
        </r>
      </text>
    </comment>
    <comment ref="B33" authorId="0" shapeId="0" xr:uid="{00000000-0006-0000-0300-000014000000}">
      <text>
        <r>
          <rPr>
            <sz val="9"/>
            <color indexed="81"/>
            <rFont val="Tahoma"/>
            <family val="2"/>
            <charset val="204"/>
          </rPr>
          <t>Укажите текущий статус контрмеры</t>
        </r>
      </text>
    </comment>
    <comment ref="B34" authorId="0" shapeId="0" xr:uid="{00000000-0006-0000-0300-000015000000}">
      <text>
        <r>
          <rPr>
            <sz val="9"/>
            <color indexed="81"/>
            <rFont val="Tahoma"/>
            <family val="2"/>
            <charset val="204"/>
          </rPr>
          <t>Укажите запланированную дату окончания внедрения контрмеры</t>
        </r>
      </text>
    </comment>
    <comment ref="B37" authorId="0" shapeId="0" xr:uid="{00000000-0006-0000-0300-000016000000}">
      <text>
        <r>
          <rPr>
            <sz val="9"/>
            <color indexed="81"/>
            <rFont val="Tahoma"/>
            <family val="2"/>
            <charset val="204"/>
          </rPr>
          <t>Укажите требуемый бюджет в Евро (расчет по текущему курсу), необходимый для внедрения контрмеры</t>
        </r>
      </text>
    </comment>
    <comment ref="B38" authorId="0" shapeId="0" xr:uid="{00000000-0006-0000-0300-000017000000}">
      <text>
        <r>
          <rPr>
            <sz val="9"/>
            <color indexed="81"/>
            <rFont val="Tahoma"/>
            <family val="2"/>
            <charset val="204"/>
          </rPr>
          <t xml:space="preserve">Укажите количество специалистов, требуемое для выполнения меры
</t>
        </r>
      </text>
    </comment>
    <comment ref="B39" authorId="0" shapeId="0" xr:uid="{00000000-0006-0000-0300-000018000000}">
      <text>
        <r>
          <rPr>
            <sz val="9"/>
            <color indexed="81"/>
            <rFont val="Tahoma"/>
            <family val="2"/>
            <charset val="204"/>
          </rPr>
          <t xml:space="preserve">Укажите количество рабочего времени в часах(человек*час), требуемое для выполнения меры. </t>
        </r>
      </text>
    </comment>
    <comment ref="B41" authorId="0" shapeId="0" xr:uid="{00000000-0006-0000-0300-000019000000}">
      <text>
        <r>
          <rPr>
            <sz val="9"/>
            <color indexed="81"/>
            <rFont val="Tahoma"/>
            <family val="2"/>
            <charset val="204"/>
          </rPr>
          <t>Опишите способ и порядок тестирования эффективности контрмеры. Кто(должность/подразделение) Что? (Что делает?) Когда?</t>
        </r>
      </text>
    </comment>
    <comment ref="B42" authorId="0" shapeId="0" xr:uid="{00000000-0006-0000-0300-00001A000000}">
      <text>
        <r>
          <rPr>
            <sz val="9"/>
            <color indexed="81"/>
            <rFont val="Tahoma"/>
            <family val="2"/>
            <charset val="204"/>
          </rPr>
          <t>Подтверждение эффективности.
Какое событие/факт/ документ подтверждает успешное окончание внедрения контрмеры</t>
        </r>
      </text>
    </comment>
    <comment ref="B43" authorId="0" shapeId="0" xr:uid="{00000000-0006-0000-0300-00001B000000}">
      <text>
        <r>
          <rPr>
            <sz val="9"/>
            <color indexed="81"/>
            <rFont val="Tahoma"/>
            <family val="2"/>
            <charset val="204"/>
          </rPr>
          <t>Как часто планируется проверять эффективность внедрения меры? Сколько раз в год? (количество/год)</t>
        </r>
      </text>
    </comment>
    <comment ref="B44" authorId="0" shapeId="0" xr:uid="{00000000-0006-0000-0300-00001C000000}">
      <text>
        <r>
          <rPr>
            <sz val="9"/>
            <color indexed="81"/>
            <rFont val="Tahoma"/>
            <family val="2"/>
            <charset val="204"/>
          </rPr>
          <t>Когда проводилась проверка эффективности последний раз? Для первичной регистрании можно указать "не проводилась"</t>
        </r>
      </text>
    </comment>
    <comment ref="B49" authorId="0" shapeId="0" xr:uid="{00000000-0006-0000-0300-00001D000000}">
      <text>
        <r>
          <rPr>
            <sz val="9"/>
            <color indexed="81"/>
            <rFont val="Tahoma"/>
            <family val="2"/>
            <charset val="204"/>
          </rPr>
          <t>Укажите причину риска, накоторую разрабатывается контрмера</t>
        </r>
      </text>
    </comment>
    <comment ref="B51" authorId="0" shapeId="0" xr:uid="{00000000-0006-0000-0300-00001E000000}">
      <text>
        <r>
          <rPr>
            <sz val="9"/>
            <color indexed="81"/>
            <rFont val="Tahoma"/>
            <family val="2"/>
            <charset val="204"/>
          </rPr>
          <t>Короткое, ёмкое название контрмеры</t>
        </r>
      </text>
    </comment>
    <comment ref="B52" authorId="0" shapeId="0" xr:uid="{00000000-0006-0000-0300-00001F000000}">
      <text>
        <r>
          <rPr>
            <sz val="9"/>
            <color indexed="81"/>
            <rFont val="Tahoma"/>
            <family val="2"/>
            <charset val="204"/>
          </rPr>
          <t>Владелец контрмеры - руководитель подразделения, ответственный за область , в которой внедряется контрмера. Без персональных данных. Только позиция</t>
        </r>
      </text>
    </comment>
    <comment ref="B53" authorId="0" shapeId="0" xr:uid="{00000000-0006-0000-0300-000020000000}">
      <text>
        <r>
          <rPr>
            <sz val="9"/>
            <color indexed="81"/>
            <rFont val="Tahoma"/>
            <family val="2"/>
            <charset val="204"/>
          </rPr>
          <t>Опишите подробно и понятно для всех участников процесса применяемую контрмеру. Кто(должность/подразделение) Что? (Что делает для уменьшения риска?) Когда?. 
Цель, необходимые действия, контрольные точки</t>
        </r>
      </text>
    </comment>
    <comment ref="B54" authorId="0" shapeId="0" xr:uid="{00000000-0006-0000-0300-000021000000}">
      <text>
        <r>
          <rPr>
            <sz val="9"/>
            <color indexed="81"/>
            <rFont val="Tahoma"/>
            <family val="2"/>
            <charset val="204"/>
          </rPr>
          <t>Наиболее эффективная контрмера имеет наивысший приоритет. 
См. причины риска на листе Risk description</t>
        </r>
      </text>
    </comment>
    <comment ref="B55" authorId="0" shapeId="0" xr:uid="{00000000-0006-0000-0300-000022000000}">
      <text>
        <r>
          <rPr>
            <sz val="9"/>
            <color indexed="81"/>
            <rFont val="Tahoma"/>
            <family val="2"/>
            <charset val="204"/>
          </rPr>
          <t>Укажите текущий статус контрмеры</t>
        </r>
      </text>
    </comment>
    <comment ref="B56" authorId="0" shapeId="0" xr:uid="{00000000-0006-0000-0300-000023000000}">
      <text>
        <r>
          <rPr>
            <sz val="9"/>
            <color indexed="81"/>
            <rFont val="Tahoma"/>
            <family val="2"/>
            <charset val="204"/>
          </rPr>
          <t>Укажите запланированную дату окончания внедрения контрмеры</t>
        </r>
      </text>
    </comment>
    <comment ref="B59" authorId="0" shapeId="0" xr:uid="{00000000-0006-0000-0300-000024000000}">
      <text>
        <r>
          <rPr>
            <sz val="9"/>
            <color indexed="81"/>
            <rFont val="Tahoma"/>
            <family val="2"/>
            <charset val="204"/>
          </rPr>
          <t>Укажите требуемый бюджет в Евро (расчет по текущему курсу), необходимый для внедрения контрмеры</t>
        </r>
      </text>
    </comment>
    <comment ref="B60" authorId="0" shapeId="0" xr:uid="{00000000-0006-0000-0300-000025000000}">
      <text>
        <r>
          <rPr>
            <sz val="9"/>
            <color indexed="81"/>
            <rFont val="Tahoma"/>
            <family val="2"/>
            <charset val="204"/>
          </rPr>
          <t xml:space="preserve">Укажите количество специалистов, требуемое для выполнения меры
</t>
        </r>
      </text>
    </comment>
    <comment ref="B61" authorId="0" shapeId="0" xr:uid="{00000000-0006-0000-0300-000026000000}">
      <text>
        <r>
          <rPr>
            <sz val="9"/>
            <color indexed="81"/>
            <rFont val="Tahoma"/>
            <family val="2"/>
            <charset val="204"/>
          </rPr>
          <t xml:space="preserve">Укажите количество рабочего времени в часах(человек*час), требуемое для выполнения меры. </t>
        </r>
      </text>
    </comment>
    <comment ref="B63" authorId="0" shapeId="0" xr:uid="{00000000-0006-0000-0300-000027000000}">
      <text>
        <r>
          <rPr>
            <sz val="9"/>
            <color indexed="81"/>
            <rFont val="Tahoma"/>
            <family val="2"/>
            <charset val="204"/>
          </rPr>
          <t>Опишите способ и порядок тестирования эффективности контрмеры. Кто(должность/подразделение) Что? (Что делает?) Когда?</t>
        </r>
      </text>
    </comment>
    <comment ref="B64" authorId="0" shapeId="0" xr:uid="{00000000-0006-0000-0300-000028000000}">
      <text>
        <r>
          <rPr>
            <sz val="9"/>
            <color indexed="81"/>
            <rFont val="Tahoma"/>
            <family val="2"/>
            <charset val="204"/>
          </rPr>
          <t>Подтверждение эффективности.
Какое событие/факт/ документ подтверждает успешное окончание внедрения контрмеры</t>
        </r>
      </text>
    </comment>
    <comment ref="B65" authorId="0" shapeId="0" xr:uid="{00000000-0006-0000-0300-000029000000}">
      <text>
        <r>
          <rPr>
            <sz val="9"/>
            <color indexed="81"/>
            <rFont val="Tahoma"/>
            <family val="2"/>
            <charset val="204"/>
          </rPr>
          <t>Как часто планируется проверять эффективность внедрения меры? Сколько раз в год? (количество/год)</t>
        </r>
      </text>
    </comment>
    <comment ref="B66" authorId="0" shapeId="0" xr:uid="{00000000-0006-0000-0300-00002A000000}">
      <text>
        <r>
          <rPr>
            <sz val="9"/>
            <color indexed="81"/>
            <rFont val="Tahoma"/>
            <family val="2"/>
            <charset val="204"/>
          </rPr>
          <t>Когда проводилась проверка эффективности последний раз? Для первичной регистрании можно указать "не проводилась"</t>
        </r>
      </text>
    </comment>
  </commentList>
</comments>
</file>

<file path=xl/sharedStrings.xml><?xml version="1.0" encoding="utf-8"?>
<sst xmlns="http://schemas.openxmlformats.org/spreadsheetml/2006/main" count="1005" uniqueCount="606">
  <si>
    <t>Natalie J. Stolar</t>
  </si>
  <si>
    <t>1.02</t>
  </si>
  <si>
    <t>1.03</t>
  </si>
  <si>
    <t>1.04</t>
  </si>
  <si>
    <t>1.05</t>
  </si>
  <si>
    <t>Volkswagen K-FIMI</t>
  </si>
  <si>
    <t>Template Risk Identification</t>
  </si>
  <si>
    <t>Revisions</t>
  </si>
  <si>
    <t>Content:</t>
  </si>
  <si>
    <t>Date:</t>
  </si>
  <si>
    <t>modified by:</t>
  </si>
  <si>
    <t>02.11.2018 (Version 1.01) - German</t>
  </si>
  <si>
    <t>Title:</t>
  </si>
  <si>
    <t>Creator:</t>
  </si>
  <si>
    <t>Department:</t>
  </si>
  <si>
    <t>Creation date:</t>
  </si>
  <si>
    <t>Latest Version:</t>
  </si>
  <si>
    <t>Jascha Koepsel (Volkswagen K-FIGC/R)</t>
  </si>
  <si>
    <t>Addition of quality criteria, details and K-FI* compliant</t>
  </si>
  <si>
    <t>Translation into english</t>
  </si>
  <si>
    <t>Addition of the term risk, extension of 'justification of risk assessment'</t>
  </si>
  <si>
    <t>Natalie J. Stolar (Volkswagen K-FIMI)</t>
  </si>
  <si>
    <t>1.06</t>
  </si>
  <si>
    <t>Supplementing the fields "OU Risk Owner / Approver"</t>
  </si>
  <si>
    <t>Подразделение</t>
  </si>
  <si>
    <t>Сотрудник</t>
  </si>
  <si>
    <t>Дата</t>
  </si>
  <si>
    <t>Конфиденциальность</t>
  </si>
  <si>
    <t>Целостность</t>
  </si>
  <si>
    <t>более двух раз в год</t>
  </si>
  <si>
    <t>Отсутствует</t>
  </si>
  <si>
    <t>&lt; 25.000 €</t>
  </si>
  <si>
    <t>Нет</t>
  </si>
  <si>
    <t>отсутствует</t>
  </si>
  <si>
    <t>два раза в год</t>
  </si>
  <si>
    <t>&lt;50.000 €</t>
  </si>
  <si>
    <t>один раз в год</t>
  </si>
  <si>
    <t>&lt;100.000 €</t>
  </si>
  <si>
    <t>каждые 2 года</t>
  </si>
  <si>
    <t>&lt;250.000 €</t>
  </si>
  <si>
    <t xml:space="preserve">Критерии принятия новых систем  </t>
  </si>
  <si>
    <t>каждые 3 года</t>
  </si>
  <si>
    <t>&lt;500.000 €</t>
  </si>
  <si>
    <t>каждые 4 года</t>
  </si>
  <si>
    <t>&lt;1 Mio.€</t>
  </si>
  <si>
    <t>каждые 5 лет</t>
  </si>
  <si>
    <t>&lt;2,5 Mio.€</t>
  </si>
  <si>
    <t>каждые 7 лет</t>
  </si>
  <si>
    <t>&lt;5 Mio.€</t>
  </si>
  <si>
    <t>каждые 10 лет</t>
  </si>
  <si>
    <t>&lt;10 Mio.€</t>
  </si>
  <si>
    <t>каждые 15 лет</t>
  </si>
  <si>
    <t>&lt;25 Mio.€</t>
  </si>
  <si>
    <t>каждые 20 лет</t>
  </si>
  <si>
    <t>&lt;50 Mio.€</t>
  </si>
  <si>
    <t>&lt;100 Mio.€</t>
  </si>
  <si>
    <t>&lt;250 Mio.€</t>
  </si>
  <si>
    <t>&lt;500 Mio.€</t>
  </si>
  <si>
    <t>&lt;1.000 Mio.€</t>
  </si>
  <si>
    <t>&gt;=1.000 Mio.€</t>
  </si>
  <si>
    <t xml:space="preserve">Интеграция приобретенных компаний  </t>
  </si>
  <si>
    <t xml:space="preserve">Неспособность контролировать планы и бюджеты  </t>
  </si>
  <si>
    <t xml:space="preserve">Координация общего бюджета ИТ  </t>
  </si>
  <si>
    <t xml:space="preserve">Невозможность восстановления по мере необходимости  </t>
  </si>
  <si>
    <t xml:space="preserve">Неадекватный анализ влияния на бизнес   </t>
  </si>
  <si>
    <t xml:space="preserve">Обязательства по контрактам  </t>
  </si>
  <si>
    <t xml:space="preserve">Недо/сверх лицензирование  </t>
  </si>
  <si>
    <t xml:space="preserve">Неэффективные процессы управления изменениями  </t>
  </si>
  <si>
    <t xml:space="preserve">Записи CI не обновлены  </t>
  </si>
  <si>
    <t xml:space="preserve">Невозможность сообщить о ключевых показателях  </t>
  </si>
  <si>
    <t xml:space="preserve">Отсутствие определения ИТ-услуг  </t>
  </si>
  <si>
    <t xml:space="preserve">Выход ИТ-инвестиций  </t>
  </si>
  <si>
    <t xml:space="preserve">Резервное копирование не выполняется и не тестируется  </t>
  </si>
  <si>
    <t xml:space="preserve">Неспособность архивировать критические данные за пределами объекта  </t>
  </si>
  <si>
    <t xml:space="preserve">Неспособность обеспечить обработку  </t>
  </si>
  <si>
    <t xml:space="preserve">Неэффективные процессы хранения данных  </t>
  </si>
  <si>
    <t xml:space="preserve">Управление экологическими или климатическими изменениями  </t>
  </si>
  <si>
    <t xml:space="preserve">Неспособность решать проблемы  </t>
  </si>
  <si>
    <t xml:space="preserve">Выявление и эскалация проблем  </t>
  </si>
  <si>
    <t xml:space="preserve">Использование неподдерживаемого программного и аппаратного обеспечения  </t>
  </si>
  <si>
    <t xml:space="preserve">Небезопасная утилизация средств массовой информации  </t>
  </si>
  <si>
    <t xml:space="preserve">Неспособность привлечь и удержать сотрудников  </t>
  </si>
  <si>
    <t xml:space="preserve">Плохое планирование рабочей силы  </t>
  </si>
  <si>
    <t xml:space="preserve">Зависимость от одного лица  </t>
  </si>
  <si>
    <t xml:space="preserve">Неэффективные программы обучения и развития  </t>
  </si>
  <si>
    <t xml:space="preserve">PMO/определение приоритетных целей  </t>
  </si>
  <si>
    <t xml:space="preserve">PMO/мониторинга, информирования о достижениях  </t>
  </si>
  <si>
    <t xml:space="preserve">Общий метод управления проектами   </t>
  </si>
  <si>
    <t xml:space="preserve">Доступ К Данным Защита Данных   </t>
  </si>
  <si>
    <t xml:space="preserve">Классификация Данных / Владение Данными  </t>
  </si>
  <si>
    <t xml:space="preserve">Почтовые Атаки / Саботаж / Вирусы  </t>
  </si>
  <si>
    <t xml:space="preserve">Отсутствует структура ИТ-процесса  </t>
  </si>
  <si>
    <t xml:space="preserve">Неспособность измерить производительность  </t>
  </si>
  <si>
    <t xml:space="preserve">Процесс управления ИТ-рисками  </t>
  </si>
  <si>
    <t xml:space="preserve">Структура ИТ-рисков  </t>
  </si>
  <si>
    <t xml:space="preserve">Рассогласование ИТ-стратегии  </t>
  </si>
  <si>
    <t xml:space="preserve">Нецелевое использование ресурсов  </t>
  </si>
  <si>
    <t xml:space="preserve">Чрезмерная зависимость от поставщика  </t>
  </si>
  <si>
    <t xml:space="preserve">Мониторинг бизнес-партнеров  </t>
  </si>
  <si>
    <t xml:space="preserve">Аутсорсинговое агентство не соответствует требованиям  </t>
  </si>
  <si>
    <t xml:space="preserve">Потеря ключевых компетенций  </t>
  </si>
  <si>
    <t xml:space="preserve">Управление рисками поставщиков  </t>
  </si>
  <si>
    <t xml:space="preserve">Неправильный выбор поставщика  </t>
  </si>
  <si>
    <t xml:space="preserve">Контрактный риск  </t>
  </si>
  <si>
    <t xml:space="preserve">Планы снижения рисков физической безопасности  </t>
  </si>
  <si>
    <t xml:space="preserve">Процессы для защиты физических активов  </t>
  </si>
  <si>
    <t xml:space="preserve">Хищение активов  </t>
  </si>
  <si>
    <t>Неклассифицированные Риски</t>
  </si>
  <si>
    <t>Class</t>
  </si>
  <si>
    <t>SubClass</t>
  </si>
  <si>
    <t>SSClass</t>
  </si>
  <si>
    <t>Architecture</t>
  </si>
  <si>
    <t xml:space="preserve">Technology  </t>
  </si>
  <si>
    <t>Compliance Management</t>
  </si>
  <si>
    <t>Architecture Management</t>
  </si>
  <si>
    <t>IT Service Continuity Management</t>
  </si>
  <si>
    <t xml:space="preserve">License Management  </t>
  </si>
  <si>
    <t xml:space="preserve">Operational Management  </t>
  </si>
  <si>
    <t>Управление архитектурой</t>
  </si>
  <si>
    <t>Архтитектура</t>
  </si>
  <si>
    <t xml:space="preserve">Availability of architecture/business processes  </t>
  </si>
  <si>
    <t xml:space="preserve">Доступность архитектуры / бизнес-процессов  </t>
  </si>
  <si>
    <t xml:space="preserve">Software acquisition methodology  </t>
  </si>
  <si>
    <t xml:space="preserve">Acceptance criteria for new systems  </t>
  </si>
  <si>
    <t xml:space="preserve">Architecture implementation poorly synchronized  </t>
  </si>
  <si>
    <t xml:space="preserve">Business requirements not met by systems  </t>
  </si>
  <si>
    <t>Системы не отвечают бизнес-требованиям</t>
  </si>
  <si>
    <t xml:space="preserve">Violation of Licensing Terms in development  </t>
  </si>
  <si>
    <t xml:space="preserve">Нарушение условий лицензирования при разработке систем </t>
  </si>
  <si>
    <t>Технологии</t>
  </si>
  <si>
    <t xml:space="preserve">Inability to plan for obsolescence  </t>
  </si>
  <si>
    <t>Неспособность планировать устаревание технологий</t>
  </si>
  <si>
    <t xml:space="preserve">Compliance Management  </t>
  </si>
  <si>
    <t>Управление соответствием</t>
  </si>
  <si>
    <t xml:space="preserve">Process  </t>
  </si>
  <si>
    <t xml:space="preserve">Процесс  </t>
  </si>
  <si>
    <t xml:space="preserve">Non Compliance with legal Regulations  </t>
  </si>
  <si>
    <t xml:space="preserve">Несоблюдение правовых норм  </t>
  </si>
  <si>
    <t xml:space="preserve">Non Compliance with internal Regulations  </t>
  </si>
  <si>
    <t xml:space="preserve">Несоблюдение внутренних правил  </t>
  </si>
  <si>
    <t xml:space="preserve">Financial Management  </t>
  </si>
  <si>
    <t>Управление финансами</t>
  </si>
  <si>
    <t>Mergers/Acquisitions/Divestitures</t>
  </si>
  <si>
    <t>Слияния/поглощения/продажа активов</t>
  </si>
  <si>
    <t xml:space="preserve">Integration of acquired companies  </t>
  </si>
  <si>
    <t>Planning/Budgeting/Forecasting</t>
  </si>
  <si>
    <t>Планирование/бюджетирование/прогноз</t>
  </si>
  <si>
    <t xml:space="preserve">Failure to monitor plans and budgets  </t>
  </si>
  <si>
    <t xml:space="preserve">Coordination of overall IT budget  </t>
  </si>
  <si>
    <t xml:space="preserve">Development of individual IT budgets  </t>
  </si>
  <si>
    <t xml:space="preserve">Разработка отдельных/собственных ИТ-бюджетов  </t>
  </si>
  <si>
    <t xml:space="preserve">Budgeting process/unreliable information  </t>
  </si>
  <si>
    <t xml:space="preserve">Процесс составления бюджета / недостоверная информация  </t>
  </si>
  <si>
    <t>Управление непрерывностью ИТ услуг</t>
  </si>
  <si>
    <t xml:space="preserve">Unavailable IT resources  </t>
  </si>
  <si>
    <t xml:space="preserve">Недоступные ИТ-ресурсы  </t>
  </si>
  <si>
    <t xml:space="preserve">Inability to recover as required  </t>
  </si>
  <si>
    <t xml:space="preserve">Inadequate business impact analysis  </t>
  </si>
  <si>
    <t>Управление лицензиями</t>
  </si>
  <si>
    <t xml:space="preserve">Contractual obligations  </t>
  </si>
  <si>
    <t xml:space="preserve">Inadequate technical license inventory  </t>
  </si>
  <si>
    <t xml:space="preserve">Несоответствующая техническая инвентаризация лицензий  </t>
  </si>
  <si>
    <t xml:space="preserve">Inadequate commercial license inventory  </t>
  </si>
  <si>
    <t xml:space="preserve">Несоответствующая коммерческая инвентаризация лицензий  </t>
  </si>
  <si>
    <t xml:space="preserve">Over-/Under licensing  </t>
  </si>
  <si>
    <t>Оперативное управление</t>
  </si>
  <si>
    <t xml:space="preserve">Change Management  </t>
  </si>
  <si>
    <t>Управление изменениями</t>
  </si>
  <si>
    <t xml:space="preserve">Changes are not tested independently  </t>
  </si>
  <si>
    <t>Изменения отдельно не тестируются</t>
  </si>
  <si>
    <t xml:space="preserve">Inability to recover processing  </t>
  </si>
  <si>
    <t>Невозможность восстановления</t>
  </si>
  <si>
    <t xml:space="preserve">Ineffective change control processes  </t>
  </si>
  <si>
    <t xml:space="preserve">Pre-Implementation testing  </t>
  </si>
  <si>
    <t xml:space="preserve">Production environment changes  </t>
  </si>
  <si>
    <t xml:space="preserve">Configuration Management  </t>
  </si>
  <si>
    <t>Управление конфигурациями</t>
  </si>
  <si>
    <t xml:space="preserve">CI entries not up-to-date  </t>
  </si>
  <si>
    <t xml:space="preserve">Management Reporting  </t>
  </si>
  <si>
    <t>Отчеты руководству</t>
  </si>
  <si>
    <t xml:space="preserve">Inability to report on key metrics  </t>
  </si>
  <si>
    <t xml:space="preserve">Operational Planning  </t>
  </si>
  <si>
    <t>Оперативное планирование</t>
  </si>
  <si>
    <t xml:space="preserve">Inappropriate deployment of resources  </t>
  </si>
  <si>
    <t xml:space="preserve">IT-enabled investments don't create benefits  </t>
  </si>
  <si>
    <t xml:space="preserve">Lack of definition of IT services  </t>
  </si>
  <si>
    <t xml:space="preserve">Output of IT investments  </t>
  </si>
  <si>
    <t xml:space="preserve">Operations  </t>
  </si>
  <si>
    <t>Эксплуатация</t>
  </si>
  <si>
    <t xml:space="preserve">Back-ups are not performed and tested  </t>
  </si>
  <si>
    <t xml:space="preserve">Failure to archive critical data off-site  </t>
  </si>
  <si>
    <t xml:space="preserve">Failure to ensure processing  </t>
  </si>
  <si>
    <t xml:space="preserve">Failure to secure transportable media  </t>
  </si>
  <si>
    <t>Неспособность защитить носители информации</t>
  </si>
  <si>
    <t xml:space="preserve">Inadequate capacity planning  </t>
  </si>
  <si>
    <t xml:space="preserve">Неадекватное планирование мощностей   </t>
  </si>
  <si>
    <t xml:space="preserve">Inefficient data retention processes  </t>
  </si>
  <si>
    <t xml:space="preserve">Physical and Environmental  </t>
  </si>
  <si>
    <t>Физическое окружение</t>
  </si>
  <si>
    <t xml:space="preserve">Manage environmental or climate changes  </t>
  </si>
  <si>
    <t xml:space="preserve">Problem Management  </t>
  </si>
  <si>
    <t>Управление проблемами</t>
  </si>
  <si>
    <t xml:space="preserve">Inability to solve problems  </t>
  </si>
  <si>
    <t xml:space="preserve">Detection and escalation of problems  </t>
  </si>
  <si>
    <t xml:space="preserve">Asset Management  </t>
  </si>
  <si>
    <t>Управление активами</t>
  </si>
  <si>
    <t xml:space="preserve">Monitoring hardware and performance  </t>
  </si>
  <si>
    <t xml:space="preserve">Мониторинг оборудования и его производительности  </t>
  </si>
  <si>
    <t xml:space="preserve">Use of unsupported software and hardware  </t>
  </si>
  <si>
    <t xml:space="preserve">Insecure disposal of media  </t>
  </si>
  <si>
    <t>Personnel Management</t>
  </si>
  <si>
    <t>Управление персоналом</t>
  </si>
  <si>
    <t xml:space="preserve">Organization Structure  </t>
  </si>
  <si>
    <t>Оргструктура</t>
  </si>
  <si>
    <t xml:space="preserve">Alignment with business needs  </t>
  </si>
  <si>
    <t xml:space="preserve">Соответствие потребностям бизнеса  </t>
  </si>
  <si>
    <t xml:space="preserve">Responsibilities in Business and IT  </t>
  </si>
  <si>
    <t xml:space="preserve">Ответственность в бизнесе и IT  </t>
  </si>
  <si>
    <t xml:space="preserve">Talent Pipeline/Recruitment  </t>
  </si>
  <si>
    <t>Управление талантами / подбор персонала</t>
  </si>
  <si>
    <t xml:space="preserve">Failure to attract and retain employees  </t>
  </si>
  <si>
    <t xml:space="preserve">Poor workforce planning  </t>
  </si>
  <si>
    <t xml:space="preserve">Reliance on single individuals  </t>
  </si>
  <si>
    <t xml:space="preserve">Training and Development  </t>
  </si>
  <si>
    <t>Обучение и развитие</t>
  </si>
  <si>
    <t xml:space="preserve">Ineffective training and development programs  </t>
  </si>
  <si>
    <t xml:space="preserve">Project Management  </t>
  </si>
  <si>
    <t>Управление проектами</t>
  </si>
  <si>
    <t xml:space="preserve">IT Project Management Process  </t>
  </si>
  <si>
    <t>Управление ИТ проектами</t>
  </si>
  <si>
    <t xml:space="preserve">PMO/identifying, prioritizing goals  </t>
  </si>
  <si>
    <t xml:space="preserve">PMO/monitoring, communicating progress  </t>
  </si>
  <si>
    <t xml:space="preserve">Common project management method  </t>
  </si>
  <si>
    <t xml:space="preserve">Information Security Management  </t>
  </si>
  <si>
    <t>Управление информационной безопасностью</t>
  </si>
  <si>
    <t>Confidentiality</t>
  </si>
  <si>
    <t xml:space="preserve">Data Access / Data Protection  </t>
  </si>
  <si>
    <t xml:space="preserve">Data Classification / Data Ownership  </t>
  </si>
  <si>
    <t>Integrity</t>
  </si>
  <si>
    <t xml:space="preserve">Business Alignment  </t>
  </si>
  <si>
    <t xml:space="preserve">Стабилизация Бизнеса  </t>
  </si>
  <si>
    <t xml:space="preserve">Mailicous Attacks / Sabotage / Viruses  </t>
  </si>
  <si>
    <t xml:space="preserve">Unauthorized Access  </t>
  </si>
  <si>
    <t xml:space="preserve">Несанкционированный доступ  </t>
  </si>
  <si>
    <t xml:space="preserve">Admin / User Activity Logging  </t>
  </si>
  <si>
    <t xml:space="preserve">Логирование Действий Администратора / Пользователя  </t>
  </si>
  <si>
    <t xml:space="preserve">Data Access and Transaction Logging  </t>
  </si>
  <si>
    <t>Доступ к данным и логирование транзакций</t>
  </si>
  <si>
    <t>Strategy and Goals</t>
  </si>
  <si>
    <t>Стратегия и Цели</t>
  </si>
  <si>
    <t xml:space="preserve">Board Structure and Leadership  </t>
  </si>
  <si>
    <t>Состав и полномочия руководства</t>
  </si>
  <si>
    <t xml:space="preserve">Missing mandate from executive management  </t>
  </si>
  <si>
    <t xml:space="preserve">Отсутствие полномочий у исполнительного руководства  </t>
  </si>
  <si>
    <t xml:space="preserve">External Fraud  </t>
  </si>
  <si>
    <t>Внешнее мошенничество</t>
  </si>
  <si>
    <t xml:space="preserve">Vendor or business partner fraud  </t>
  </si>
  <si>
    <t xml:space="preserve">Мошенничество поставщика / партнера  </t>
  </si>
  <si>
    <t xml:space="preserve">Governance Framework  </t>
  </si>
  <si>
    <t>Структура управления</t>
  </si>
  <si>
    <t xml:space="preserve">Reporting of IT Governance  </t>
  </si>
  <si>
    <t xml:space="preserve">Отчетность руководства ИТ  </t>
  </si>
  <si>
    <t xml:space="preserve">Missing IT Process Framework  </t>
  </si>
  <si>
    <t xml:space="preserve">Performance Management  </t>
  </si>
  <si>
    <t>Управление производительностью</t>
  </si>
  <si>
    <t xml:space="preserve">Inability to measure performance  </t>
  </si>
  <si>
    <t xml:space="preserve">Risk Oversight  </t>
  </si>
  <si>
    <t>Контроль за рисками</t>
  </si>
  <si>
    <t xml:space="preserve">Inadequate oversight of ITRM activities  </t>
  </si>
  <si>
    <t xml:space="preserve">Несоответствующий контроль за деятельностью ИТРМ  </t>
  </si>
  <si>
    <t xml:space="preserve">IT risk management process  </t>
  </si>
  <si>
    <t xml:space="preserve">IT risk framework  </t>
  </si>
  <si>
    <t xml:space="preserve">Strategic Planning  </t>
  </si>
  <si>
    <t>Стратегическтое планирование</t>
  </si>
  <si>
    <t xml:space="preserve">IT strategy misalignment  </t>
  </si>
  <si>
    <t xml:space="preserve">Inappropriate resourcing  </t>
  </si>
  <si>
    <t xml:space="preserve">Supplier Management  </t>
  </si>
  <si>
    <t>Управление поставщиками</t>
  </si>
  <si>
    <t xml:space="preserve">Business Concentration  </t>
  </si>
  <si>
    <t>Критические точки бизнеса</t>
  </si>
  <si>
    <t xml:space="preserve">Dependency on outside facilities  </t>
  </si>
  <si>
    <t xml:space="preserve">Зависимость от внешних факторов/инфраструктуры  </t>
  </si>
  <si>
    <t xml:space="preserve">Supplier over-dependency  </t>
  </si>
  <si>
    <t xml:space="preserve">Contract Management  </t>
  </si>
  <si>
    <t>Управление договорами</t>
  </si>
  <si>
    <t xml:space="preserve">Business partner monitoring  </t>
  </si>
  <si>
    <t xml:space="preserve">Lack of definition of SLAs for IT services  </t>
  </si>
  <si>
    <t xml:space="preserve">Неопределеннный SLA для ИТ-услуг  </t>
  </si>
  <si>
    <t xml:space="preserve">Inability to review security practices  </t>
  </si>
  <si>
    <t xml:space="preserve">Невозможность проверки методов обеспечения безопасности  </t>
  </si>
  <si>
    <t xml:space="preserve">Outsourcing  </t>
  </si>
  <si>
    <t>Аутсорсинг</t>
  </si>
  <si>
    <t xml:space="preserve">Outsourcing agency doesn't meet requirements  </t>
  </si>
  <si>
    <t xml:space="preserve">Failure to monitor business partners  </t>
  </si>
  <si>
    <t xml:space="preserve">Неспособность контролировать бизнес-партнеров  </t>
  </si>
  <si>
    <t xml:space="preserve">Loss of core competencies  </t>
  </si>
  <si>
    <t xml:space="preserve">Sole dependence on outsourced functions  </t>
  </si>
  <si>
    <t xml:space="preserve">Зависимость от уникальных аутсорсинговых функций  </t>
  </si>
  <si>
    <t xml:space="preserve">Security and privacy controls of outsourced data  </t>
  </si>
  <si>
    <t>Контроль безопасности и конфиденциальности сторонних данных</t>
  </si>
  <si>
    <t xml:space="preserve">Sourcing  </t>
  </si>
  <si>
    <t>Подбор поставщика</t>
  </si>
  <si>
    <t xml:space="preserve">Supplier risk management  </t>
  </si>
  <si>
    <t xml:space="preserve">Inappropriate supplier selection  </t>
  </si>
  <si>
    <t xml:space="preserve">Third party/Joint Venture Requirements  </t>
  </si>
  <si>
    <t>Требования третьих сторон</t>
  </si>
  <si>
    <t xml:space="preserve">Contract risk  </t>
  </si>
  <si>
    <t>Physical Security Management</t>
  </si>
  <si>
    <t>Физическая безопасность</t>
  </si>
  <si>
    <t xml:space="preserve">Physical Security Management  </t>
  </si>
  <si>
    <t xml:space="preserve">Failure to implement security controls  </t>
  </si>
  <si>
    <t xml:space="preserve">Ошибки реализации управления безопасностью  </t>
  </si>
  <si>
    <t xml:space="preserve">Inadequate data center physical security  </t>
  </si>
  <si>
    <t>Недостаточная физическая безопасность ЦОД</t>
  </si>
  <si>
    <t xml:space="preserve">Physical security risk mitigation plans  </t>
  </si>
  <si>
    <t xml:space="preserve">Processes to secure physical assets  </t>
  </si>
  <si>
    <t xml:space="preserve">Theft of assets  </t>
  </si>
  <si>
    <t>Unclassified Risks</t>
  </si>
  <si>
    <t>Неклассифицированные риски</t>
  </si>
  <si>
    <t>Обычно каждые 20 лет</t>
  </si>
  <si>
    <t>Обычно каждые 15 лет</t>
  </si>
  <si>
    <t>Обычно каждые 10 лет</t>
  </si>
  <si>
    <t>Обычно каждые 7 лет</t>
  </si>
  <si>
    <t>Обычно каждые 5 лет</t>
  </si>
  <si>
    <t>Обычно каждые 4 года</t>
  </si>
  <si>
    <t>Обычно каждые 3 года</t>
  </si>
  <si>
    <t>Обычно каждые 2 года</t>
  </si>
  <si>
    <t>Обычно раз в год</t>
  </si>
  <si>
    <t>Обычно дважды в год</t>
  </si>
  <si>
    <t>Обычно более 2 раз в год</t>
  </si>
  <si>
    <t>----------</t>
  </si>
  <si>
    <t>1.</t>
  </si>
  <si>
    <t>2.</t>
  </si>
  <si>
    <t>3.</t>
  </si>
  <si>
    <t>4.</t>
  </si>
  <si>
    <t>Описание</t>
  </si>
  <si>
    <t>Шкала</t>
  </si>
  <si>
    <t>Материальный Ущерб</t>
  </si>
  <si>
    <t>Репутационный ущерб</t>
  </si>
  <si>
    <t>Вероятность</t>
  </si>
  <si>
    <t>Значение(формула)</t>
  </si>
  <si>
    <t>передача риска</t>
  </si>
  <si>
    <t>принятие риска</t>
  </si>
  <si>
    <t>Стратегия управления риском</t>
  </si>
  <si>
    <t>уменьшение риска</t>
  </si>
  <si>
    <t>Eskalationsprozess RQP.PNG</t>
  </si>
  <si>
    <t xml:space="preserve">Методология внедрения программного обеспечения   </t>
  </si>
  <si>
    <t xml:space="preserve">Архитектура плохо реализована  </t>
  </si>
  <si>
    <t xml:space="preserve">Предварительное тестирование  </t>
  </si>
  <si>
    <t>Изменения продуктивной среды системы</t>
  </si>
  <si>
    <t xml:space="preserve">Неправильное распределение ресурсов  </t>
  </si>
  <si>
    <t xml:space="preserve">Инвестиции в ИТ не приносят выгоды  </t>
  </si>
  <si>
    <t>risiko-mngmnt.vrka.r.kal@volkswagen-rus.ru</t>
  </si>
  <si>
    <t>5.</t>
  </si>
  <si>
    <t>6.</t>
  </si>
  <si>
    <t>Сохранить файл и отправить на почтовый ящик Risiko-mngmnt для оценки и принятия решения о дальнейшей обработке.</t>
  </si>
  <si>
    <t>7.</t>
  </si>
  <si>
    <t>LIRO</t>
  </si>
  <si>
    <t>+</t>
  </si>
  <si>
    <t>9.</t>
  </si>
  <si>
    <t>10.</t>
  </si>
  <si>
    <t>Оператор
риска</t>
  </si>
  <si>
    <t>Ответственный
за риск</t>
  </si>
  <si>
    <t>Владелец
риска</t>
  </si>
  <si>
    <t>Оператор
контрмер</t>
  </si>
  <si>
    <t>Выполнить контрмеры</t>
  </si>
  <si>
    <t>Подтвердить эффективность контрмер</t>
  </si>
  <si>
    <t>Отправить на почтовый ящик Risiko-mngmnt для первичного согласования с ответственным за риск</t>
  </si>
  <si>
    <t>Паспорт риска</t>
  </si>
  <si>
    <t>Процедура</t>
  </si>
  <si>
    <t>ITRM Material Loss</t>
  </si>
  <si>
    <t>Value</t>
  </si>
  <si>
    <t>&lt; 25.000€</t>
  </si>
  <si>
    <t>&lt; 50.000€</t>
  </si>
  <si>
    <t>&lt; 100.000€</t>
  </si>
  <si>
    <t>&lt; 250.000€</t>
  </si>
  <si>
    <t>&lt; 500.000€</t>
  </si>
  <si>
    <t>&lt; 1 Mil. €</t>
  </si>
  <si>
    <t>&lt; 2.5 Mil. €</t>
  </si>
  <si>
    <t>&lt; 5 Mil. €</t>
  </si>
  <si>
    <t>&lt; 10 Mil. €</t>
  </si>
  <si>
    <t>&lt; 25 Mil. €</t>
  </si>
  <si>
    <t>&lt; 50 Mil. €</t>
  </si>
  <si>
    <t>&lt; 100 Mil. €</t>
  </si>
  <si>
    <t>&lt; 250 Mil. €</t>
  </si>
  <si>
    <t>&lt; 500 Mil. €</t>
  </si>
  <si>
    <t>&lt; 1.000 Mil. €</t>
  </si>
  <si>
    <t>&gt;= 1.000 Mil €</t>
  </si>
  <si>
    <t>Незначительная</t>
  </si>
  <si>
    <t>Правовая ответственность</t>
  </si>
  <si>
    <t>Средняя</t>
  </si>
  <si>
    <t>Крупная</t>
  </si>
  <si>
    <t>Особо крупная</t>
  </si>
  <si>
    <t>Потеря репутации международная.</t>
  </si>
  <si>
    <t>Потеря репутации региональная</t>
  </si>
  <si>
    <t>кризис, кратковременная потеря доверия клиентов/партнеров к локальной компании</t>
  </si>
  <si>
    <t>длительная потеря доверия клиентов/партнеров</t>
  </si>
  <si>
    <t>Оценка риска</t>
  </si>
  <si>
    <t>низкая</t>
  </si>
  <si>
    <t>средняя</t>
  </si>
  <si>
    <t>высокая</t>
  </si>
  <si>
    <t>оч.высокая</t>
  </si>
  <si>
    <t>кратковременная потеря доверия</t>
  </si>
  <si>
    <t>длительная потеря доверия</t>
  </si>
  <si>
    <t>потеря репутации (региональная)</t>
  </si>
  <si>
    <t>потеря репутации (международная)</t>
  </si>
  <si>
    <t>Правовой ущерб</t>
  </si>
  <si>
    <t>небольшая</t>
  </si>
  <si>
    <t>умеренная</t>
  </si>
  <si>
    <t>сильная</t>
  </si>
  <si>
    <t>очень сильная</t>
  </si>
  <si>
    <t>нет</t>
  </si>
  <si>
    <t>устранение риска</t>
  </si>
  <si>
    <t>Obligatory fields *</t>
  </si>
  <si>
    <t>Avialability</t>
  </si>
  <si>
    <t>Description of countermeasure*</t>
  </si>
  <si>
    <t>Priority of countermeasure</t>
  </si>
  <si>
    <t>Implementation Status*</t>
  </si>
  <si>
    <t>If delayed, new date</t>
  </si>
  <si>
    <t>Name*</t>
  </si>
  <si>
    <t>Final assessment of effectiveness</t>
  </si>
  <si>
    <t>End of countermeasure implementation*</t>
  </si>
  <si>
    <t>Section 5. Countermeassuries</t>
  </si>
  <si>
    <t>Анализ риска</t>
  </si>
  <si>
    <t>Confidenciality</t>
  </si>
  <si>
    <t>Период оценки</t>
  </si>
  <si>
    <t>1 год</t>
  </si>
  <si>
    <t>2 года</t>
  </si>
  <si>
    <t>3 года</t>
  </si>
  <si>
    <t>5 лет</t>
  </si>
  <si>
    <t>более 5 лет</t>
  </si>
  <si>
    <t>//------------------------------------------------------------- Область ниже не удалять ------------------------------------------------------------------------</t>
  </si>
  <si>
    <t>Countermeassure 1. Test of Effectiveness</t>
  </si>
  <si>
    <t xml:space="preserve">Audits + IT Security + Revision </t>
  </si>
  <si>
    <t>Efficiency + Budget</t>
  </si>
  <si>
    <t xml:space="preserve"> </t>
  </si>
  <si>
    <t>Other</t>
  </si>
  <si>
    <t>Very high</t>
  </si>
  <si>
    <t>High</t>
  </si>
  <si>
    <t>Low</t>
  </si>
  <si>
    <t>Risk raiting</t>
  </si>
  <si>
    <t>Запланировать и описать контрмеры, заполнить секции 4 и 5 на листе "Countermeasure&amp;control"</t>
  </si>
  <si>
    <t>Процесс</t>
  </si>
  <si>
    <t>Сформулировать краткое наименование риска, подготовить описание, оценить риск и заполнить секции 1, 2 листа "Risk Description" и секции 3,4 листа "Assessment&amp;Management"</t>
  </si>
  <si>
    <t>Регистратор
риска</t>
  </si>
  <si>
    <t>Протестировать и оценить эффективность контрмер</t>
  </si>
  <si>
    <t>Countermeassure 1 Description</t>
  </si>
  <si>
    <t>Description of effectiveness test</t>
  </si>
  <si>
    <t>Оператор
СУР</t>
  </si>
  <si>
    <t>Middle</t>
  </si>
  <si>
    <t>low</t>
  </si>
  <si>
    <t>middle</t>
  </si>
  <si>
    <t>high</t>
  </si>
  <si>
    <t>very high</t>
  </si>
  <si>
    <t>-----------</t>
  </si>
  <si>
    <t xml:space="preserve">Принять решение о способе дальнейшей обработки риска и направить его письмом Оператору риска </t>
  </si>
  <si>
    <t xml:space="preserve">Проверить и, при необходимости, уточнить оценку риска в текущем состоянии "As Is" </t>
  </si>
  <si>
    <t>Назначить оператора(ов) контрмер и запланировать задачи в почтовом ящике. При необходимости используйте календарь</t>
  </si>
  <si>
    <t>measurable parameter</t>
  </si>
  <si>
    <t>unit</t>
  </si>
  <si>
    <t>rub</t>
  </si>
  <si>
    <t>%</t>
  </si>
  <si>
    <t xml:space="preserve">Сохранить файл, имя файла формируется автоматически </t>
  </si>
  <si>
    <t>Department objective</t>
  </si>
  <si>
    <t>Complete name</t>
  </si>
  <si>
    <r>
      <t xml:space="preserve">Риск описывает опасное событие, из-за которого цели компании или подразделения могут быть не достигнуты.
A risk describes the danger that company or divisional objectives may not be achieved. 
Т.о. Риск – это </t>
    </r>
    <r>
      <rPr>
        <b/>
        <u/>
        <sz val="12"/>
        <color rgb="FF000000"/>
        <rFont val="VW Headline OT-Semibold"/>
        <family val="2"/>
        <charset val="204"/>
      </rPr>
      <t>[событие, влияющее на достижение целей]</t>
    </r>
    <r>
      <rPr>
        <sz val="12"/>
        <color rgb="FF000000"/>
        <rFont val="VW Headline OT-Semibold"/>
        <family val="2"/>
        <charset val="204"/>
      </rPr>
      <t xml:space="preserve">, обусловленное </t>
    </r>
    <r>
      <rPr>
        <b/>
        <u/>
        <sz val="12"/>
        <color rgb="FF000000"/>
        <rFont val="VW Headline OT-Semibold"/>
        <family val="2"/>
        <charset val="204"/>
      </rPr>
      <t>[причинами]</t>
    </r>
    <r>
      <rPr>
        <sz val="12"/>
        <color rgb="FF000000"/>
        <rFont val="VW Headline OT-Semibold"/>
        <family val="2"/>
        <charset val="204"/>
      </rPr>
      <t xml:space="preserve"> и способное привести к </t>
    </r>
    <r>
      <rPr>
        <b/>
        <u/>
        <sz val="12"/>
        <color rgb="FF000000"/>
        <rFont val="VW Headline OT-Semibold"/>
        <family val="2"/>
        <charset val="204"/>
      </rPr>
      <t>[последствиям]</t>
    </r>
    <r>
      <rPr>
        <sz val="12"/>
        <color rgb="FF000000"/>
        <rFont val="VW Headline OT-Semibold"/>
        <family val="2"/>
        <charset val="204"/>
      </rPr>
      <t>.</t>
    </r>
  </si>
  <si>
    <t>Reduce Probability/Impact</t>
  </si>
  <si>
    <t>Precondition/Outcome</t>
  </si>
  <si>
    <t>Countermeassure 1 Object</t>
  </si>
  <si>
    <t>Countermeassure 1 Resources</t>
  </si>
  <si>
    <t>Budget</t>
  </si>
  <si>
    <t>Working Time</t>
  </si>
  <si>
    <t>Amount of specialists</t>
  </si>
  <si>
    <t>Countermeassure 2 Object</t>
  </si>
  <si>
    <t>Countermeassure 2 Description</t>
  </si>
  <si>
    <t>Countermeassure 2 Resources</t>
  </si>
  <si>
    <t>Countermeassure 2. Test of Effectiveness</t>
  </si>
  <si>
    <t>Countermeassure 3 Description</t>
  </si>
  <si>
    <t>Countermeassure 3 Resources</t>
  </si>
  <si>
    <t>Countermeassure 3. Test of Effectiveness</t>
  </si>
  <si>
    <t>Countermeassure 3 Object</t>
  </si>
  <si>
    <t>Описание риска</t>
  </si>
  <si>
    <t>Затраты на контрмеры</t>
  </si>
  <si>
    <t>Влияние</t>
  </si>
  <si>
    <t>Мера 1</t>
  </si>
  <si>
    <t>Мера 2</t>
  </si>
  <si>
    <t>Мера 3</t>
  </si>
  <si>
    <t>Материальные</t>
  </si>
  <si>
    <t>Нематериальные</t>
  </si>
  <si>
    <t>Оценка</t>
  </si>
  <si>
    <t>Дата регистрации</t>
  </si>
  <si>
    <t>Дата пересмотра</t>
  </si>
  <si>
    <t>Контрольные даты</t>
  </si>
  <si>
    <t>Время (чел*час)</t>
  </si>
  <si>
    <t>Personal Data Protection</t>
  </si>
  <si>
    <t>Оценка потерь</t>
  </si>
  <si>
    <t>Юридические</t>
  </si>
  <si>
    <t>Специалисты (чел)</t>
  </si>
  <si>
    <t>Дата меры1</t>
  </si>
  <si>
    <t>Дата меры2</t>
  </si>
  <si>
    <t>Дата меры3</t>
  </si>
  <si>
    <t>конфиденциальность (Confidentiality);</t>
  </si>
  <si>
    <t xml:space="preserve"> целостность (Integrity);</t>
  </si>
  <si>
    <t xml:space="preserve"> доступность (Availability);</t>
  </si>
  <si>
    <t xml:space="preserve"> невозможность отказа (Non-repudiation);</t>
  </si>
  <si>
    <t xml:space="preserve"> достоверность (Authenticity);</t>
  </si>
  <si>
    <t xml:space="preserve"> предсказуемость (Accountability);</t>
  </si>
  <si>
    <t xml:space="preserve"> авторизацию (Authorization).</t>
  </si>
  <si>
    <t xml:space="preserve">AvailaЬility </t>
  </si>
  <si>
    <t>Reason_Probability</t>
  </si>
  <si>
    <t>Outcome_Impact</t>
  </si>
  <si>
    <t>ИТОГО</t>
  </si>
  <si>
    <t>Legal requirements comliance</t>
  </si>
  <si>
    <t>Наименование контрмеры</t>
  </si>
  <si>
    <t>Confidentional</t>
  </si>
  <si>
    <t xml:space="preserve">Repetition of effectiveness test </t>
  </si>
  <si>
    <t>Description of effectiveness test*</t>
  </si>
  <si>
    <t>Generated evidences*</t>
  </si>
  <si>
    <t>Final assessment of effectiveness*</t>
  </si>
  <si>
    <t>Repetition of test</t>
  </si>
  <si>
    <t>Date of last test</t>
  </si>
  <si>
    <t xml:space="preserve">Repetition of test </t>
  </si>
  <si>
    <t xml:space="preserve">99,98 авто 100% мотор  </t>
  </si>
  <si>
    <t>нет нарушений</t>
  </si>
  <si>
    <t>шт</t>
  </si>
  <si>
    <t>Главная триада (RCM) процесса:
1. Выявление, регистрация и оценка риска R
2. Определение и выполнение контрмер C
3. Управляющий контроль руководства M</t>
  </si>
  <si>
    <t>Budget (Euro)</t>
  </si>
  <si>
    <t>Countermeasure coordinator*</t>
  </si>
  <si>
    <t>Рейтинг риска</t>
  </si>
  <si>
    <t>Обязательные поля / Obligatory fields *</t>
  </si>
  <si>
    <t>Отправить /Send to</t>
  </si>
  <si>
    <t>Имя риска / Risk name*</t>
  </si>
  <si>
    <t>Объект риска (ИТ-система / Проект / Процесс / 
Risk object (IT-system/ Project/ Process) *</t>
  </si>
  <si>
    <t>Секция 1. Наименование и классификация риска /  Risk name and classification</t>
  </si>
  <si>
    <t>Влияние / Impact</t>
  </si>
  <si>
    <t>Максимальная вероятность / Probability (max)*</t>
  </si>
  <si>
    <t>Владелец риска / Risk Owner *</t>
  </si>
  <si>
    <t>Бюджет (тыс.руб.)</t>
  </si>
  <si>
    <t>Последствия / Эффект/  Outcom / Effect / Issue</t>
  </si>
  <si>
    <t>Максисм.влияние/Impact (max)*</t>
  </si>
  <si>
    <t>Вероятность наступления риска Probability of occurrence*</t>
  </si>
  <si>
    <t>Влияние риска /  Impact*</t>
  </si>
  <si>
    <t>Оценка финансовых потерь (опц.)/ 
Material damage (optional)</t>
  </si>
  <si>
    <t>Оценка нематериальных потерь(опц.) / Immaterial damage  (optional)</t>
  </si>
  <si>
    <t>Законодательные последствия (опц.)/
Legal relevance (optional)</t>
  </si>
  <si>
    <t>Оценка риска (опц.) / Risk assessment score  (optional)</t>
  </si>
  <si>
    <t>Комментарии к оценке / Comments*</t>
  </si>
  <si>
    <t>Стратегия управления риском / Risk response strategie*</t>
  </si>
  <si>
    <t>Зарегистрирован / Registered (Date)</t>
  </si>
  <si>
    <t>След. пересмотр / Date of next review</t>
  </si>
  <si>
    <t>Ответственный / Risk manager*</t>
  </si>
  <si>
    <t>Цель: 
1. Этот шаблон помогает описать риск и, при необходимости, зарегистрировать его в системе управления рисками. 
Риск должен быть задокументирован таким образом, чтобы третья сторона(напрмер, бизнес, финансы, контроллинг и т.п.) также могла понять причину, статус и возможные последствия. Речь идет о  последствиях для бизнеса, которые может вызвать сам риск, а также о последствиях контрмер. 
2. Количество контрмер можно изменять. Если у вас есть более 3, просто добавьте строки.
3. Дополнительную информацию можно найти на вкладке "Theory".
Примечание: Макрос формирует имя сохраняемого файла из ячеек  В4 и B3 на листе "Risk Description"</t>
  </si>
  <si>
    <t>Минимум один раз в год определить/актуализировать угрозы(модель угроз), на которые могут влиять оперативные риски. И заполнить таблицу на скрытом листе "DepartmentObjectives". В дальнейшем цели можно добавлять.</t>
  </si>
  <si>
    <r>
      <t xml:space="preserve">Конфиденциальность / </t>
    </r>
    <r>
      <rPr>
        <b/>
        <sz val="12"/>
        <color rgb="FFFF0000"/>
        <rFont val="VWAG TheSans"/>
        <charset val="204"/>
      </rPr>
      <t>C</t>
    </r>
    <r>
      <rPr>
        <sz val="12"/>
        <color theme="0"/>
        <rFont val="VWAG TheSans"/>
        <family val="2"/>
        <charset val="204"/>
      </rPr>
      <t>onfidentiality</t>
    </r>
  </si>
  <si>
    <r>
      <t>Целостность /</t>
    </r>
    <r>
      <rPr>
        <b/>
        <sz val="12"/>
        <color theme="0"/>
        <rFont val="VWAG TheSans"/>
        <charset val="204"/>
      </rPr>
      <t xml:space="preserve"> </t>
    </r>
    <r>
      <rPr>
        <b/>
        <sz val="12"/>
        <color rgb="FFFF0000"/>
        <rFont val="VWAG TheSans"/>
        <charset val="204"/>
      </rPr>
      <t>I</t>
    </r>
    <r>
      <rPr>
        <sz val="12"/>
        <color theme="0"/>
        <rFont val="VWAG TheSans"/>
        <family val="2"/>
        <charset val="204"/>
      </rPr>
      <t>ntegrity</t>
    </r>
  </si>
  <si>
    <r>
      <t xml:space="preserve">Доступность / </t>
    </r>
    <r>
      <rPr>
        <b/>
        <sz val="12"/>
        <color rgb="FFFF0000"/>
        <rFont val="VWAG TheSans"/>
        <charset val="204"/>
      </rPr>
      <t>A</t>
    </r>
    <r>
      <rPr>
        <sz val="12"/>
        <color theme="0"/>
        <rFont val="VWAG TheSans"/>
        <family val="2"/>
        <charset val="204"/>
      </rPr>
      <t>vialability</t>
    </r>
  </si>
  <si>
    <t>Секция 5. Управление риском / Risk control &amp; management</t>
  </si>
  <si>
    <t>Угроза / Причина / Threat / Precondition / Reason</t>
  </si>
  <si>
    <t>Вероятность (за год) Probability(year)</t>
  </si>
  <si>
    <t>Описание риска, как события / 
Description of risk as an event*</t>
  </si>
  <si>
    <t>Конфиденциально</t>
  </si>
  <si>
    <t>Секция 4. Оценка риска в состоянии "как есть" /  Risk assessment. Status "As Is"</t>
  </si>
  <si>
    <t>Рейтинг риска(см.справа)/ Risk Raiting</t>
  </si>
  <si>
    <t>Уровень влияния на конфиденциальность</t>
  </si>
  <si>
    <t>Источники угроз</t>
  </si>
  <si>
    <t>---------</t>
  </si>
  <si>
    <t>Внутренний нарушитель с низким потенциалом</t>
  </si>
  <si>
    <t>Внутренний нарушитель со средним потенциалом</t>
  </si>
  <si>
    <t>Внутренний нарушитель с высоким потенциалом</t>
  </si>
  <si>
    <t>Внешний нарушитель с низким потенциалом</t>
  </si>
  <si>
    <t>Внешний нарушитель со средним потенциалом</t>
  </si>
  <si>
    <t>Внешний нарушитель с высоким потенциалом</t>
  </si>
  <si>
    <t>Пожар</t>
  </si>
  <si>
    <t>Наводнение</t>
  </si>
  <si>
    <t>Эпидемия</t>
  </si>
  <si>
    <t>Системное ПО</t>
  </si>
  <si>
    <t>Прикладное ПО</t>
  </si>
  <si>
    <t>Вредоносное ПО</t>
  </si>
  <si>
    <t>Периферийное оборудование</t>
  </si>
  <si>
    <t>АНТРОПОГЕННЫЕ</t>
  </si>
  <si>
    <t>СТИХИЙНЫЕ</t>
  </si>
  <si>
    <t>ОБЩАЯ ИНФРАСТРУКТУРА</t>
  </si>
  <si>
    <t>Электроснабжение</t>
  </si>
  <si>
    <t>Водоснабжение</t>
  </si>
  <si>
    <t>Вентиляция</t>
  </si>
  <si>
    <t>Здания и сооружения</t>
  </si>
  <si>
    <t>ПРОГРАММНОЕ ОБЕСПЕЧЕНИЕ</t>
  </si>
  <si>
    <t>ПО для разработчиков</t>
  </si>
  <si>
    <t>ИТ-ИНФРАСТРУКТУРА</t>
  </si>
  <si>
    <t>Активное сетевое оборудование</t>
  </si>
  <si>
    <t>Пассивное сетевое оборудование</t>
  </si>
  <si>
    <t>Межсетевые экраны</t>
  </si>
  <si>
    <t xml:space="preserve">Серверное оборудование </t>
  </si>
  <si>
    <t>Оборудование пользователей</t>
  </si>
  <si>
    <t>Аппаратное служебное ПО</t>
  </si>
  <si>
    <t>Обязательные поля *</t>
  </si>
  <si>
    <t>Низк.</t>
  </si>
  <si>
    <t>Средн.</t>
  </si>
  <si>
    <t>Высок.</t>
  </si>
  <si>
    <t>Очень Высок.</t>
  </si>
  <si>
    <t>Короткое название риска</t>
  </si>
  <si>
    <t xml:space="preserve">Проект / ИТ- актив </t>
  </si>
  <si>
    <t>Секция 2.  Описание риска "как есть" / Risk description "As Is"</t>
  </si>
  <si>
    <t>Секция 3.  Влияние риска в целом на основные ценности ИБ / Risk impact to main values of IS</t>
  </si>
  <si>
    <r>
      <t xml:space="preserve">Достоверность / </t>
    </r>
    <r>
      <rPr>
        <sz val="12"/>
        <color rgb="FFFF0000"/>
        <rFont val="VWAG TheSans"/>
        <charset val="204"/>
      </rPr>
      <t>R</t>
    </r>
    <r>
      <rPr>
        <sz val="12"/>
        <color theme="0"/>
        <rFont val="VWAG TheSans"/>
        <charset val="204"/>
      </rPr>
      <t>eliability</t>
    </r>
  </si>
  <si>
    <t>// ----------------------------------------------------------- Область выше не удалять --------------------------------------------------------------------------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</si>
</sst>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₽&quot;_-;\-* #,##0.00\ &quot;₽&quot;_-;_-* &quot;-&quot;??\ &quot;₽&quot;_-;_-@_-"/>
    <numFmt numFmtId="164" formatCode="_(&quot;€&quot;* #,##0.00_);_(&quot;€&quot;* \(#,##0.00\);_(&quot;€&quot;* &quot;-&quot;??_);_(@_)"/>
    <numFmt numFmtId="165" formatCode="_-* #,##0\ [$₽-419]_-;\-* #,##0\ [$₽-419]_-;_-* &quot;-&quot;\ [$₽-419]_-;_-@_-"/>
  </numFmts>
  <fonts count="64">
    <font>
      <sz val="10"/>
      <color rgb="FF000000"/>
      <name val="Times New Roman"/>
      <charset val="204"/>
    </font>
    <font>
      <sz val="10"/>
      <color rgb="FF000000"/>
      <name val="Arial"/>
      <family val="2"/>
    </font>
    <font>
      <sz val="10"/>
      <color rgb="FF000000"/>
      <name val="VWAG TheSans"/>
      <family val="2"/>
    </font>
    <font>
      <sz val="10"/>
      <name val="VWAG TheSans"/>
      <family val="2"/>
    </font>
    <font>
      <sz val="10"/>
      <color theme="0"/>
      <name val="VWAG TheSans"/>
      <family val="2"/>
    </font>
    <font>
      <sz val="20"/>
      <color theme="0"/>
      <name val="VWAG TheSans"/>
      <family val="2"/>
    </font>
    <font>
      <sz val="18"/>
      <color theme="1"/>
      <name val="VWAG TheSans"/>
      <family val="2"/>
    </font>
    <font>
      <sz val="10"/>
      <color theme="1"/>
      <name val="VWAG TheSans"/>
      <family val="2"/>
    </font>
    <font>
      <b/>
      <sz val="10"/>
      <color rgb="FF000000"/>
      <name val="VWAG TheSans"/>
      <family val="2"/>
    </font>
    <font>
      <sz val="8"/>
      <color rgb="FF000000"/>
      <name val="Arial"/>
      <family val="2"/>
    </font>
    <font>
      <sz val="10"/>
      <color rgb="FF000000"/>
      <name val="VWAG TheSans"/>
      <family val="2"/>
      <charset val="204"/>
    </font>
    <font>
      <sz val="10"/>
      <color theme="1"/>
      <name val="VWAG TheSans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Times New Roman"/>
      <family val="1"/>
      <charset val="204"/>
    </font>
    <font>
      <sz val="10"/>
      <color rgb="FF000000"/>
      <name val="Arial"/>
      <family val="2"/>
      <charset val="204"/>
    </font>
    <font>
      <sz val="10"/>
      <color rgb="FF000000"/>
      <name val="VW Head"/>
      <family val="2"/>
    </font>
    <font>
      <u/>
      <sz val="10"/>
      <color theme="10"/>
      <name val="Times New Roman"/>
      <family val="1"/>
      <charset val="204"/>
    </font>
    <font>
      <sz val="12"/>
      <color rgb="FF000000"/>
      <name val="VW Headline OT-Semibold"/>
      <family val="2"/>
      <charset val="204"/>
    </font>
    <font>
      <b/>
      <u/>
      <sz val="12"/>
      <color rgb="FF000000"/>
      <name val="VW Headline OT-Semibold"/>
      <family val="2"/>
      <charset val="204"/>
    </font>
    <font>
      <sz val="10"/>
      <name val="Times New Roman"/>
      <family val="1"/>
      <charset val="204"/>
    </font>
    <font>
      <b/>
      <sz val="12"/>
      <name val="Arial"/>
      <family val="2"/>
      <charset val="204"/>
    </font>
    <font>
      <sz val="12"/>
      <name val="Arial"/>
      <family val="2"/>
    </font>
    <font>
      <sz val="12"/>
      <name val="VWAG TheSans"/>
      <family val="2"/>
      <charset val="204"/>
    </font>
    <font>
      <u/>
      <sz val="12"/>
      <name val="VWAG TheSans"/>
      <family val="2"/>
      <charset val="204"/>
    </font>
    <font>
      <sz val="10"/>
      <name val="VWAG TheSans"/>
      <family val="2"/>
      <charset val="204"/>
    </font>
    <font>
      <sz val="10"/>
      <color rgb="FF000000"/>
      <name val="Times New Roman"/>
      <family val="1"/>
      <charset val="204"/>
    </font>
    <font>
      <b/>
      <sz val="11"/>
      <color rgb="FFFFFFFF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name val="VWAG TheSans"/>
      <family val="2"/>
    </font>
    <font>
      <sz val="12"/>
      <color rgb="FF000000"/>
      <name val="VWAG TheSans"/>
      <family val="2"/>
      <charset val="204"/>
    </font>
    <font>
      <b/>
      <sz val="12"/>
      <color theme="0"/>
      <name val="VWAG TheSans"/>
      <family val="2"/>
      <charset val="204"/>
    </font>
    <font>
      <b/>
      <sz val="14"/>
      <color theme="0"/>
      <name val="VWAG TheSans"/>
      <family val="2"/>
      <charset val="204"/>
    </font>
    <font>
      <sz val="12"/>
      <color theme="0"/>
      <name val="VWAG TheSans"/>
      <family val="2"/>
    </font>
    <font>
      <sz val="18"/>
      <color rgb="FF000000"/>
      <name val="Source Sans Pro Light"/>
      <family val="2"/>
    </font>
    <font>
      <sz val="10"/>
      <color theme="0"/>
      <name val="Times New Roman"/>
      <family val="1"/>
      <charset val="204"/>
    </font>
    <font>
      <b/>
      <sz val="14"/>
      <color rgb="FF000000"/>
      <name val="VWAG TheSans"/>
      <family val="2"/>
      <charset val="204"/>
    </font>
    <font>
      <b/>
      <sz val="11"/>
      <color rgb="FF000000"/>
      <name val="VWAG TheSans"/>
      <family val="2"/>
      <charset val="204"/>
    </font>
    <font>
      <sz val="10"/>
      <color theme="0" tint="-0.249977111117893"/>
      <name val="Times New Roman"/>
      <family val="1"/>
      <charset val="204"/>
    </font>
    <font>
      <sz val="10"/>
      <color theme="0" tint="-0.249977111117893"/>
      <name val="VWAG TheSans"/>
      <family val="2"/>
      <charset val="204"/>
    </font>
    <font>
      <sz val="16"/>
      <color rgb="FF000000"/>
      <name val="VWAG TheSans"/>
      <family val="2"/>
      <charset val="204"/>
    </font>
    <font>
      <sz val="9"/>
      <color rgb="FF000000"/>
      <name val="Times New Roman"/>
      <family val="1"/>
      <charset val="204"/>
    </font>
    <font>
      <b/>
      <sz val="10"/>
      <color theme="0"/>
      <name val="VWAG TheSans"/>
      <family val="2"/>
      <charset val="204"/>
    </font>
    <font>
      <sz val="12"/>
      <color theme="0"/>
      <name val="VWAG TheSans"/>
      <family val="2"/>
      <charset val="204"/>
    </font>
    <font>
      <b/>
      <sz val="11"/>
      <color rgb="FFFF0000"/>
      <name val="VWAG TheSans"/>
      <family val="2"/>
      <charset val="204"/>
    </font>
    <font>
      <sz val="12"/>
      <color rgb="FF000000"/>
      <name val="VWAG TheSans Light"/>
      <family val="2"/>
      <charset val="204"/>
    </font>
    <font>
      <sz val="14"/>
      <color rgb="FF000000"/>
      <name val="VWAG TheSans"/>
      <family val="2"/>
      <charset val="204"/>
    </font>
    <font>
      <sz val="11"/>
      <color theme="0"/>
      <name val="VWAG TheSans"/>
      <family val="2"/>
      <charset val="204"/>
    </font>
    <font>
      <sz val="11"/>
      <color rgb="FF000000"/>
      <name val="VWAG TheSans"/>
      <family val="2"/>
      <charset val="204"/>
    </font>
    <font>
      <sz val="12"/>
      <color theme="0"/>
      <name val="VWAG TheSans"/>
      <charset val="204"/>
    </font>
    <font>
      <b/>
      <sz val="12"/>
      <color theme="0"/>
      <name val="VWAG TheSans"/>
      <charset val="204"/>
    </font>
    <font>
      <b/>
      <sz val="12"/>
      <color rgb="FFFF0000"/>
      <name val="VWAG TheSans"/>
      <charset val="204"/>
    </font>
    <font>
      <sz val="11"/>
      <name val="VWAG TheSans"/>
      <family val="2"/>
      <charset val="204"/>
    </font>
    <font>
      <sz val="14"/>
      <color theme="0"/>
      <name val="VWAG TheSans"/>
      <charset val="204"/>
    </font>
    <font>
      <sz val="16"/>
      <color theme="0"/>
      <name val="VWAG TheSans"/>
      <charset val="204"/>
    </font>
    <font>
      <sz val="10"/>
      <color theme="0"/>
      <name val="VWAG TheSans"/>
      <family val="2"/>
      <charset val="204"/>
    </font>
    <font>
      <b/>
      <sz val="12"/>
      <color rgb="FFC00000"/>
      <name val="VWAG TheSans"/>
      <charset val="204"/>
    </font>
    <font>
      <sz val="14"/>
      <color theme="0"/>
      <name val="Myriad Pro"/>
      <family val="2"/>
    </font>
    <font>
      <sz val="10"/>
      <color rgb="FF000000"/>
      <name val="Myriad Pro"/>
      <family val="2"/>
    </font>
    <font>
      <b/>
      <sz val="11"/>
      <color theme="1"/>
      <name val="Myriad Pro"/>
      <family val="2"/>
    </font>
    <font>
      <sz val="10"/>
      <color rgb="FF000000"/>
      <name val="Times New Roman"/>
      <charset val="204"/>
    </font>
    <font>
      <b/>
      <sz val="10"/>
      <color theme="0"/>
      <name val="VWAG TheSans"/>
      <charset val="204"/>
    </font>
    <font>
      <sz val="10"/>
      <color rgb="FF000000"/>
      <name val="VWAG TheSans"/>
      <charset val="204"/>
    </font>
    <font>
      <sz val="12"/>
      <color rgb="FFFF0000"/>
      <name val="VWAG TheSans"/>
      <charset val="204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80B0C8"/>
        <bgColor indexed="64"/>
      </patternFill>
    </fill>
    <fill>
      <patternFill patternType="solid">
        <fgColor rgb="FF006384"/>
        <bgColor indexed="64"/>
      </patternFill>
    </fill>
    <fill>
      <patternFill patternType="solid">
        <fgColor rgb="FFD4D6D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1F5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rgb="FF669900"/>
        <bgColor indexed="64"/>
      </patternFill>
    </fill>
  </fills>
  <borders count="83">
    <border>
      <left/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theme="0"/>
      </top>
      <bottom style="thick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theme="0"/>
      </bottom>
      <diagonal/>
    </border>
    <border>
      <left/>
      <right style="medium">
        <color indexed="64"/>
      </right>
      <top style="medium">
        <color indexed="64"/>
      </top>
      <bottom style="thick">
        <color theme="0"/>
      </bottom>
      <diagonal/>
    </border>
    <border>
      <left style="medium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thick">
        <color theme="0"/>
      </top>
      <bottom style="thick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7" fillId="0" borderId="0" applyNumberFormat="0" applyFill="0" applyBorder="0" applyAlignment="0" applyProtection="0"/>
    <xf numFmtId="9" fontId="26" fillId="0" borderId="0" applyFont="0" applyFill="0" applyBorder="0" applyAlignment="0" applyProtection="0"/>
    <xf numFmtId="0" fontId="28" fillId="0" borderId="0"/>
    <xf numFmtId="164" fontId="28" fillId="0" borderId="0" applyFont="0" applyFill="0" applyBorder="0" applyAlignment="0" applyProtection="0"/>
    <xf numFmtId="44" fontId="60" fillId="0" borderId="0" applyFont="0" applyFill="0" applyBorder="0" applyAlignment="0" applyProtection="0"/>
  </cellStyleXfs>
  <cellXfs count="345">
    <xf numFmtId="0" fontId="0" fillId="0" borderId="0" xfId="0" applyAlignment="1">
      <alignment horizontal="left" vertical="top"/>
    </xf>
    <xf numFmtId="0" fontId="0" fillId="2" borderId="0" xfId="0" applyFill="1" applyAlignment="1">
      <alignment horizontal="left" vertical="top"/>
    </xf>
    <xf numFmtId="0" fontId="1" fillId="2" borderId="0" xfId="0" applyFont="1" applyFill="1" applyAlignment="1">
      <alignment vertical="top" wrapText="1"/>
    </xf>
    <xf numFmtId="0" fontId="0" fillId="2" borderId="1" xfId="0" applyFill="1" applyBorder="1" applyAlignment="1">
      <alignment vertical="top" wrapText="1"/>
    </xf>
    <xf numFmtId="0" fontId="0" fillId="2" borderId="0" xfId="0" applyFill="1" applyAlignment="1">
      <alignment vertical="top" wrapText="1"/>
    </xf>
    <xf numFmtId="0" fontId="2" fillId="3" borderId="2" xfId="0" applyFont="1" applyFill="1" applyBorder="1" applyAlignment="1">
      <alignment horizontal="left" vertical="top"/>
    </xf>
    <xf numFmtId="0" fontId="2" fillId="5" borderId="2" xfId="0" applyFont="1" applyFill="1" applyBorder="1" applyAlignment="1">
      <alignment horizontal="left" vertical="top"/>
    </xf>
    <xf numFmtId="14" fontId="2" fillId="5" borderId="2" xfId="0" applyNumberFormat="1" applyFont="1" applyFill="1" applyBorder="1" applyAlignment="1">
      <alignment horizontal="left" vertical="top"/>
    </xf>
    <xf numFmtId="49" fontId="2" fillId="0" borderId="0" xfId="0" applyNumberFormat="1" applyFont="1" applyAlignment="1">
      <alignment horizontal="left" vertical="top"/>
    </xf>
    <xf numFmtId="0" fontId="8" fillId="3" borderId="2" xfId="0" applyFont="1" applyFill="1" applyBorder="1" applyAlignment="1">
      <alignment horizontal="left" vertical="top"/>
    </xf>
    <xf numFmtId="49" fontId="8" fillId="5" borderId="2" xfId="0" applyNumberFormat="1" applyFont="1" applyFill="1" applyBorder="1" applyAlignment="1">
      <alignment horizontal="left" vertical="top"/>
    </xf>
    <xf numFmtId="0" fontId="4" fillId="4" borderId="5" xfId="0" applyFont="1" applyFill="1" applyBorder="1" applyAlignment="1" applyProtection="1">
      <alignment horizontal="left" vertical="center" wrapText="1"/>
      <protection locked="0"/>
    </xf>
    <xf numFmtId="0" fontId="6" fillId="5" borderId="6" xfId="0" applyFont="1" applyFill="1" applyBorder="1" applyAlignment="1">
      <alignment horizontal="center" vertical="top" wrapText="1"/>
    </xf>
    <xf numFmtId="0" fontId="7" fillId="5" borderId="6" xfId="0" applyFont="1" applyFill="1" applyBorder="1" applyAlignment="1">
      <alignment horizontal="center" vertical="top" wrapText="1"/>
    </xf>
    <xf numFmtId="0" fontId="10" fillId="0" borderId="0" xfId="0" applyFont="1" applyAlignment="1">
      <alignment horizontal="left" vertical="top"/>
    </xf>
    <xf numFmtId="0" fontId="10" fillId="12" borderId="2" xfId="0" applyFont="1" applyFill="1" applyBorder="1" applyAlignment="1">
      <alignment vertical="center"/>
    </xf>
    <xf numFmtId="0" fontId="11" fillId="12" borderId="2" xfId="0" applyFont="1" applyFill="1" applyBorder="1" applyAlignment="1">
      <alignment vertical="center"/>
    </xf>
    <xf numFmtId="0" fontId="11" fillId="12" borderId="7" xfId="0" applyFont="1" applyFill="1" applyBorder="1" applyAlignment="1">
      <alignment vertical="center"/>
    </xf>
    <xf numFmtId="0" fontId="11" fillId="12" borderId="2" xfId="0" applyFont="1" applyFill="1" applyBorder="1" applyAlignment="1">
      <alignment horizontal="left" vertical="center"/>
    </xf>
    <xf numFmtId="0" fontId="10" fillId="12" borderId="2" xfId="0" applyFont="1" applyFill="1" applyBorder="1"/>
    <xf numFmtId="0" fontId="10" fillId="13" borderId="2" xfId="0" applyFont="1" applyFill="1" applyBorder="1" applyAlignment="1">
      <alignment vertical="center"/>
    </xf>
    <xf numFmtId="0" fontId="11" fillId="13" borderId="2" xfId="0" applyFont="1" applyFill="1" applyBorder="1" applyAlignment="1">
      <alignment vertical="center"/>
    </xf>
    <xf numFmtId="0" fontId="11" fillId="13" borderId="7" xfId="0" applyFont="1" applyFill="1" applyBorder="1" applyAlignment="1">
      <alignment vertical="center"/>
    </xf>
    <xf numFmtId="0" fontId="11" fillId="13" borderId="2" xfId="0" applyFont="1" applyFill="1" applyBorder="1" applyAlignment="1">
      <alignment horizontal="left" vertical="center"/>
    </xf>
    <xf numFmtId="0" fontId="10" fillId="13" borderId="2" xfId="0" applyFont="1" applyFill="1" applyBorder="1"/>
    <xf numFmtId="0" fontId="10" fillId="16" borderId="2" xfId="0" applyFont="1" applyFill="1" applyBorder="1" applyAlignment="1">
      <alignment vertical="center"/>
    </xf>
    <xf numFmtId="0" fontId="11" fillId="16" borderId="2" xfId="0" applyFont="1" applyFill="1" applyBorder="1" applyAlignment="1">
      <alignment horizontal="left"/>
    </xf>
    <xf numFmtId="0" fontId="11" fillId="16" borderId="2" xfId="0" applyFont="1" applyFill="1" applyBorder="1" applyAlignment="1">
      <alignment horizontal="left" vertical="center"/>
    </xf>
    <xf numFmtId="0" fontId="10" fillId="16" borderId="2" xfId="0" applyFont="1" applyFill="1" applyBorder="1"/>
    <xf numFmtId="0" fontId="11" fillId="16" borderId="2" xfId="0" applyFont="1" applyFill="1" applyBorder="1" applyAlignment="1">
      <alignment vertical="center"/>
    </xf>
    <xf numFmtId="0" fontId="11" fillId="16" borderId="7" xfId="0" applyFont="1" applyFill="1" applyBorder="1" applyAlignment="1">
      <alignment vertical="center"/>
    </xf>
    <xf numFmtId="0" fontId="11" fillId="17" borderId="7" xfId="0" applyFont="1" applyFill="1" applyBorder="1" applyAlignment="1">
      <alignment vertical="center"/>
    </xf>
    <xf numFmtId="0" fontId="11" fillId="17" borderId="2" xfId="0" applyFont="1" applyFill="1" applyBorder="1" applyAlignment="1">
      <alignment vertical="center"/>
    </xf>
    <xf numFmtId="0" fontId="11" fillId="17" borderId="2" xfId="0" applyFont="1" applyFill="1" applyBorder="1" applyAlignment="1">
      <alignment horizontal="left" vertical="center"/>
    </xf>
    <xf numFmtId="0" fontId="10" fillId="17" borderId="2" xfId="0" applyFont="1" applyFill="1" applyBorder="1"/>
    <xf numFmtId="0" fontId="10" fillId="7" borderId="2" xfId="0" applyFont="1" applyFill="1" applyBorder="1" applyAlignment="1">
      <alignment vertical="center"/>
    </xf>
    <xf numFmtId="0" fontId="11" fillId="7" borderId="7" xfId="0" applyFont="1" applyFill="1" applyBorder="1" applyAlignment="1">
      <alignment vertical="center"/>
    </xf>
    <xf numFmtId="0" fontId="11" fillId="7" borderId="2" xfId="0" applyFont="1" applyFill="1" applyBorder="1" applyAlignment="1">
      <alignment vertical="center"/>
    </xf>
    <xf numFmtId="0" fontId="11" fillId="7" borderId="2" xfId="0" applyFont="1" applyFill="1" applyBorder="1" applyAlignment="1">
      <alignment horizontal="left" vertical="center"/>
    </xf>
    <xf numFmtId="0" fontId="10" fillId="7" borderId="2" xfId="0" applyFont="1" applyFill="1" applyBorder="1"/>
    <xf numFmtId="0" fontId="10" fillId="8" borderId="2" xfId="0" applyFont="1" applyFill="1" applyBorder="1" applyAlignment="1">
      <alignment vertical="center"/>
    </xf>
    <xf numFmtId="0" fontId="11" fillId="8" borderId="7" xfId="0" applyFont="1" applyFill="1" applyBorder="1" applyAlignment="1">
      <alignment vertical="center"/>
    </xf>
    <xf numFmtId="0" fontId="11" fillId="8" borderId="2" xfId="0" applyFont="1" applyFill="1" applyBorder="1" applyAlignment="1">
      <alignment vertical="center"/>
    </xf>
    <xf numFmtId="0" fontId="11" fillId="8" borderId="2" xfId="0" applyFont="1" applyFill="1" applyBorder="1" applyAlignment="1">
      <alignment horizontal="left" vertical="center"/>
    </xf>
    <xf numFmtId="0" fontId="10" fillId="8" borderId="2" xfId="0" applyFont="1" applyFill="1" applyBorder="1"/>
    <xf numFmtId="0" fontId="10" fillId="14" borderId="2" xfId="0" applyFont="1" applyFill="1" applyBorder="1" applyAlignment="1">
      <alignment horizontal="left" vertical="center"/>
    </xf>
    <xf numFmtId="0" fontId="11" fillId="14" borderId="2" xfId="0" applyFont="1" applyFill="1" applyBorder="1" applyAlignment="1">
      <alignment vertical="center"/>
    </xf>
    <xf numFmtId="0" fontId="11" fillId="14" borderId="7" xfId="0" applyFont="1" applyFill="1" applyBorder="1" applyAlignment="1">
      <alignment vertical="center"/>
    </xf>
    <xf numFmtId="0" fontId="11" fillId="14" borderId="2" xfId="0" applyFont="1" applyFill="1" applyBorder="1" applyAlignment="1">
      <alignment horizontal="left" vertical="center"/>
    </xf>
    <xf numFmtId="0" fontId="10" fillId="14" borderId="2" xfId="0" applyFont="1" applyFill="1" applyBorder="1"/>
    <xf numFmtId="0" fontId="10" fillId="9" borderId="2" xfId="0" applyFont="1" applyFill="1" applyBorder="1" applyAlignment="1">
      <alignment horizontal="left" vertical="center"/>
    </xf>
    <xf numFmtId="0" fontId="11" fillId="9" borderId="2" xfId="0" applyFont="1" applyFill="1" applyBorder="1" applyAlignment="1">
      <alignment vertical="center"/>
    </xf>
    <xf numFmtId="0" fontId="11" fillId="9" borderId="7" xfId="0" applyFont="1" applyFill="1" applyBorder="1" applyAlignment="1">
      <alignment vertical="center"/>
    </xf>
    <xf numFmtId="0" fontId="11" fillId="9" borderId="2" xfId="0" applyFont="1" applyFill="1" applyBorder="1" applyAlignment="1">
      <alignment horizontal="left" vertical="center"/>
    </xf>
    <xf numFmtId="0" fontId="10" fillId="9" borderId="2" xfId="0" applyFont="1" applyFill="1" applyBorder="1"/>
    <xf numFmtId="0" fontId="10" fillId="15" borderId="2" xfId="0" applyFont="1" applyFill="1" applyBorder="1" applyAlignment="1">
      <alignment horizontal="left" vertical="center"/>
    </xf>
    <xf numFmtId="0" fontId="11" fillId="15" borderId="2" xfId="0" applyFont="1" applyFill="1" applyBorder="1" applyAlignment="1">
      <alignment vertical="center"/>
    </xf>
    <xf numFmtId="0" fontId="11" fillId="15" borderId="2" xfId="0" applyFont="1" applyFill="1" applyBorder="1" applyAlignment="1">
      <alignment horizontal="left" vertical="center"/>
    </xf>
    <xf numFmtId="0" fontId="10" fillId="15" borderId="2" xfId="0" applyFont="1" applyFill="1" applyBorder="1"/>
    <xf numFmtId="0" fontId="10" fillId="11" borderId="2" xfId="0" applyFont="1" applyFill="1" applyBorder="1" applyAlignment="1">
      <alignment horizontal="left" vertical="center"/>
    </xf>
    <xf numFmtId="0" fontId="11" fillId="11" borderId="2" xfId="0" applyFont="1" applyFill="1" applyBorder="1" applyAlignment="1">
      <alignment horizontal="left" vertical="center"/>
    </xf>
    <xf numFmtId="0" fontId="10" fillId="11" borderId="2" xfId="0" applyFont="1" applyFill="1" applyBorder="1"/>
    <xf numFmtId="0" fontId="11" fillId="11" borderId="2" xfId="0" applyFont="1" applyFill="1" applyBorder="1" applyAlignment="1">
      <alignment vertical="center"/>
    </xf>
    <xf numFmtId="0" fontId="10" fillId="10" borderId="2" xfId="0" applyFont="1" applyFill="1" applyBorder="1" applyAlignment="1">
      <alignment horizontal="left" vertical="center"/>
    </xf>
    <xf numFmtId="0" fontId="11" fillId="10" borderId="2" xfId="0" applyFont="1" applyFill="1" applyBorder="1" applyAlignment="1">
      <alignment vertical="center"/>
    </xf>
    <xf numFmtId="0" fontId="11" fillId="10" borderId="2" xfId="0" applyFont="1" applyFill="1" applyBorder="1" applyAlignment="1">
      <alignment horizontal="left" vertical="center"/>
    </xf>
    <xf numFmtId="0" fontId="10" fillId="10" borderId="2" xfId="0" applyFont="1" applyFill="1" applyBorder="1"/>
    <xf numFmtId="0" fontId="11" fillId="10" borderId="2" xfId="0" applyFont="1" applyFill="1" applyBorder="1" applyAlignment="1">
      <alignment horizontal="center" vertical="center"/>
    </xf>
    <xf numFmtId="0" fontId="10" fillId="18" borderId="2" xfId="0" applyFont="1" applyFill="1" applyBorder="1" applyAlignment="1">
      <alignment horizontal="left" vertical="center"/>
    </xf>
    <xf numFmtId="0" fontId="11" fillId="18" borderId="2" xfId="0" applyFont="1" applyFill="1" applyBorder="1" applyAlignment="1">
      <alignment vertical="center"/>
    </xf>
    <xf numFmtId="0" fontId="11" fillId="18" borderId="2" xfId="0" applyFont="1" applyFill="1" applyBorder="1" applyAlignment="1">
      <alignment horizontal="left" vertical="center"/>
    </xf>
    <xf numFmtId="0" fontId="10" fillId="18" borderId="2" xfId="0" applyFont="1" applyFill="1" applyBorder="1"/>
    <xf numFmtId="0" fontId="10" fillId="6" borderId="2" xfId="0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left" vertical="center"/>
    </xf>
    <xf numFmtId="0" fontId="10" fillId="6" borderId="2" xfId="0" applyFont="1" applyFill="1" applyBorder="1" applyAlignment="1">
      <alignment horizontal="left"/>
    </xf>
    <xf numFmtId="0" fontId="10" fillId="0" borderId="0" xfId="0" quotePrefix="1" applyFont="1" applyAlignment="1">
      <alignment horizontal="left" vertical="top"/>
    </xf>
    <xf numFmtId="0" fontId="14" fillId="0" borderId="0" xfId="0" applyFont="1" applyAlignment="1">
      <alignment horizontal="left" vertical="top"/>
    </xf>
    <xf numFmtId="0" fontId="15" fillId="0" borderId="10" xfId="0" applyFont="1" applyBorder="1" applyAlignment="1">
      <alignment horizontal="left" vertical="center" wrapText="1"/>
    </xf>
    <xf numFmtId="0" fontId="10" fillId="9" borderId="0" xfId="0" applyFont="1" applyFill="1" applyAlignment="1">
      <alignment horizontal="left" vertical="top"/>
    </xf>
    <xf numFmtId="0" fontId="10" fillId="9" borderId="0" xfId="0" quotePrefix="1" applyFont="1" applyFill="1" applyAlignment="1">
      <alignment horizontal="left" vertical="top"/>
    </xf>
    <xf numFmtId="0" fontId="10" fillId="6" borderId="0" xfId="0" applyFont="1" applyFill="1" applyAlignment="1">
      <alignment horizontal="left" vertical="top"/>
    </xf>
    <xf numFmtId="0" fontId="10" fillId="6" borderId="0" xfId="0" quotePrefix="1" applyFont="1" applyFill="1" applyAlignment="1">
      <alignment horizontal="left" vertical="top"/>
    </xf>
    <xf numFmtId="0" fontId="10" fillId="11" borderId="0" xfId="0" applyFont="1" applyFill="1" applyAlignment="1">
      <alignment horizontal="left" vertical="top"/>
    </xf>
    <xf numFmtId="0" fontId="10" fillId="11" borderId="0" xfId="0" quotePrefix="1" applyFont="1" applyFill="1" applyAlignment="1">
      <alignment horizontal="left" vertical="top"/>
    </xf>
    <xf numFmtId="0" fontId="10" fillId="19" borderId="0" xfId="0" applyFont="1" applyFill="1" applyAlignment="1">
      <alignment horizontal="left" vertical="top"/>
    </xf>
    <xf numFmtId="0" fontId="10" fillId="19" borderId="0" xfId="0" quotePrefix="1" applyFont="1" applyFill="1" applyAlignment="1">
      <alignment horizontal="left" vertical="top"/>
    </xf>
    <xf numFmtId="0" fontId="15" fillId="19" borderId="8" xfId="0" applyFont="1" applyFill="1" applyBorder="1" applyAlignment="1">
      <alignment horizontal="left" vertical="center" wrapText="1"/>
    </xf>
    <xf numFmtId="0" fontId="15" fillId="19" borderId="10" xfId="0" applyFont="1" applyFill="1" applyBorder="1" applyAlignment="1">
      <alignment horizontal="left" vertical="center" wrapText="1"/>
    </xf>
    <xf numFmtId="0" fontId="16" fillId="0" borderId="0" xfId="0" applyFont="1" applyAlignment="1">
      <alignment horizontal="left" vertical="top"/>
    </xf>
    <xf numFmtId="0" fontId="5" fillId="4" borderId="0" xfId="0" applyFont="1" applyFill="1" applyAlignment="1" applyProtection="1">
      <alignment vertical="center" wrapText="1"/>
      <protection locked="0"/>
    </xf>
    <xf numFmtId="0" fontId="1" fillId="2" borderId="13" xfId="0" applyFont="1" applyFill="1" applyBorder="1" applyAlignment="1">
      <alignment vertical="top" wrapText="1"/>
    </xf>
    <xf numFmtId="0" fontId="4" fillId="4" borderId="0" xfId="0" applyFont="1" applyFill="1" applyAlignment="1" applyProtection="1">
      <alignment horizontal="left" vertical="center" wrapText="1"/>
      <protection locked="0"/>
    </xf>
    <xf numFmtId="0" fontId="7" fillId="5" borderId="15" xfId="0" applyFont="1" applyFill="1" applyBorder="1" applyAlignment="1">
      <alignment horizontal="center" vertical="top" wrapText="1"/>
    </xf>
    <xf numFmtId="0" fontId="2" fillId="0" borderId="14" xfId="0" applyFont="1" applyBorder="1" applyAlignment="1">
      <alignment horizontal="left" vertical="top" wrapText="1"/>
    </xf>
    <xf numFmtId="0" fontId="2" fillId="0" borderId="4" xfId="0" applyFont="1" applyBorder="1" applyAlignment="1">
      <alignment horizontal="left" vertical="top" wrapText="1"/>
    </xf>
    <xf numFmtId="0" fontId="0" fillId="2" borderId="4" xfId="0" applyFill="1" applyBorder="1" applyAlignment="1">
      <alignment vertical="top" wrapText="1"/>
    </xf>
    <xf numFmtId="0" fontId="9" fillId="2" borderId="13" xfId="0" applyFont="1" applyFill="1" applyBorder="1" applyAlignment="1">
      <alignment horizontal="center" vertical="top" wrapText="1"/>
    </xf>
    <xf numFmtId="0" fontId="23" fillId="0" borderId="2" xfId="0" applyFont="1" applyBorder="1" applyAlignment="1">
      <alignment horizontal="left" vertical="top"/>
    </xf>
    <xf numFmtId="0" fontId="23" fillId="0" borderId="2" xfId="0" applyFont="1" applyBorder="1" applyAlignment="1">
      <alignment horizontal="left" vertical="top" wrapText="1"/>
    </xf>
    <xf numFmtId="0" fontId="23" fillId="0" borderId="2" xfId="0" applyFont="1" applyBorder="1" applyAlignment="1">
      <alignment horizontal="center" vertical="top"/>
    </xf>
    <xf numFmtId="0" fontId="24" fillId="0" borderId="2" xfId="1" applyFont="1" applyFill="1" applyBorder="1" applyAlignment="1">
      <alignment horizontal="left" vertical="top" wrapText="1"/>
    </xf>
    <xf numFmtId="0" fontId="25" fillId="0" borderId="2" xfId="0" applyFont="1" applyBorder="1" applyAlignment="1">
      <alignment horizontal="center" vertical="top"/>
    </xf>
    <xf numFmtId="0" fontId="23" fillId="0" borderId="17" xfId="0" applyFont="1" applyBorder="1" applyAlignment="1">
      <alignment horizontal="left" vertical="top"/>
    </xf>
    <xf numFmtId="0" fontId="23" fillId="0" borderId="18" xfId="0" applyFont="1" applyBorder="1" applyAlignment="1">
      <alignment horizontal="left" vertical="top" wrapText="1"/>
    </xf>
    <xf numFmtId="0" fontId="23" fillId="0" borderId="20" xfId="0" applyFont="1" applyBorder="1" applyAlignment="1">
      <alignment horizontal="left" vertical="top"/>
    </xf>
    <xf numFmtId="0" fontId="23" fillId="0" borderId="21" xfId="0" applyFont="1" applyBorder="1" applyAlignment="1">
      <alignment horizontal="center" vertical="top"/>
    </xf>
    <xf numFmtId="0" fontId="25" fillId="0" borderId="21" xfId="0" applyFont="1" applyBorder="1" applyAlignment="1">
      <alignment horizontal="center" vertical="top"/>
    </xf>
    <xf numFmtId="0" fontId="23" fillId="0" borderId="22" xfId="0" applyFont="1" applyBorder="1" applyAlignment="1">
      <alignment horizontal="left" vertical="top"/>
    </xf>
    <xf numFmtId="0" fontId="23" fillId="0" borderId="23" xfId="0" applyFont="1" applyBorder="1" applyAlignment="1">
      <alignment horizontal="left" vertical="top"/>
    </xf>
    <xf numFmtId="0" fontId="25" fillId="0" borderId="23" xfId="0" applyFont="1" applyBorder="1" applyAlignment="1">
      <alignment horizontal="left" vertical="top"/>
    </xf>
    <xf numFmtId="0" fontId="25" fillId="0" borderId="23" xfId="0" applyFont="1" applyBorder="1" applyAlignment="1">
      <alignment horizontal="center" vertical="top"/>
    </xf>
    <xf numFmtId="0" fontId="25" fillId="0" borderId="24" xfId="0" applyFont="1" applyBorder="1" applyAlignment="1">
      <alignment horizontal="left" vertical="top"/>
    </xf>
    <xf numFmtId="9" fontId="15" fillId="19" borderId="9" xfId="2" applyFont="1" applyFill="1" applyBorder="1" applyAlignment="1">
      <alignment horizontal="center" vertical="center" wrapText="1"/>
    </xf>
    <xf numFmtId="9" fontId="15" fillId="19" borderId="11" xfId="2" applyFont="1" applyFill="1" applyBorder="1" applyAlignment="1">
      <alignment horizontal="center" vertical="center" wrapText="1"/>
    </xf>
    <xf numFmtId="9" fontId="15" fillId="0" borderId="11" xfId="2" applyFont="1" applyFill="1" applyBorder="1" applyAlignment="1">
      <alignment horizontal="center" vertical="center" wrapText="1"/>
    </xf>
    <xf numFmtId="0" fontId="27" fillId="20" borderId="8" xfId="0" applyFont="1" applyFill="1" applyBorder="1" applyAlignment="1">
      <alignment horizontal="left" vertical="center" wrapText="1"/>
    </xf>
    <xf numFmtId="0" fontId="27" fillId="20" borderId="9" xfId="0" applyFont="1" applyFill="1" applyBorder="1" applyAlignment="1">
      <alignment horizontal="left" vertical="center" wrapText="1"/>
    </xf>
    <xf numFmtId="0" fontId="15" fillId="0" borderId="11" xfId="0" applyFont="1" applyBorder="1" applyAlignment="1">
      <alignment horizontal="left" vertical="center" wrapText="1"/>
    </xf>
    <xf numFmtId="0" fontId="17" fillId="0" borderId="2" xfId="1" applyFill="1" applyBorder="1" applyAlignment="1">
      <alignment horizontal="left" vertical="top" wrapText="1"/>
    </xf>
    <xf numFmtId="0" fontId="30" fillId="22" borderId="25" xfId="0" applyFont="1" applyFill="1" applyBorder="1"/>
    <xf numFmtId="0" fontId="30" fillId="22" borderId="26" xfId="0" applyFont="1" applyFill="1" applyBorder="1"/>
    <xf numFmtId="0" fontId="16" fillId="0" borderId="31" xfId="0" applyFont="1" applyBorder="1" applyAlignment="1">
      <alignment horizontal="left" vertical="top"/>
    </xf>
    <xf numFmtId="0" fontId="35" fillId="0" borderId="0" xfId="0" applyFont="1" applyAlignment="1">
      <alignment horizontal="left" vertical="top"/>
    </xf>
    <xf numFmtId="0" fontId="29" fillId="3" borderId="12" xfId="0" applyFont="1" applyFill="1" applyBorder="1" applyAlignment="1" applyProtection="1">
      <alignment vertical="center" wrapText="1"/>
      <protection locked="0"/>
    </xf>
    <xf numFmtId="0" fontId="3" fillId="3" borderId="0" xfId="0" applyFont="1" applyFill="1" applyAlignment="1" applyProtection="1">
      <alignment vertical="center" wrapText="1"/>
      <protection locked="0"/>
    </xf>
    <xf numFmtId="0" fontId="0" fillId="22" borderId="0" xfId="0" applyFill="1" applyAlignment="1">
      <alignment horizontal="left" vertical="top"/>
    </xf>
    <xf numFmtId="0" fontId="0" fillId="9" borderId="0" xfId="0" applyFill="1" applyAlignment="1">
      <alignment horizontal="left" vertical="top"/>
    </xf>
    <xf numFmtId="0" fontId="0" fillId="3" borderId="0" xfId="0" applyFill="1" applyAlignment="1">
      <alignment horizontal="left" vertical="top"/>
    </xf>
    <xf numFmtId="0" fontId="10" fillId="22" borderId="25" xfId="0" applyFont="1" applyFill="1" applyBorder="1" applyAlignment="1">
      <alignment horizontal="left" vertical="center"/>
    </xf>
    <xf numFmtId="0" fontId="10" fillId="22" borderId="16" xfId="0" applyFont="1" applyFill="1" applyBorder="1" applyAlignment="1">
      <alignment horizontal="center" vertical="center" wrapText="1"/>
    </xf>
    <xf numFmtId="0" fontId="10" fillId="0" borderId="36" xfId="0" applyFont="1" applyBorder="1" applyAlignment="1">
      <alignment horizontal="center" vertical="center"/>
    </xf>
    <xf numFmtId="0" fontId="10" fillId="0" borderId="28" xfId="0" applyFont="1" applyBorder="1" applyAlignment="1">
      <alignment horizontal="center" vertical="center"/>
    </xf>
    <xf numFmtId="0" fontId="10" fillId="0" borderId="2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21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38" fillId="0" borderId="0" xfId="0" applyFont="1" applyAlignment="1">
      <alignment horizontal="left" vertical="top"/>
    </xf>
    <xf numFmtId="0" fontId="38" fillId="0" borderId="2" xfId="0" applyFont="1" applyBorder="1" applyAlignment="1">
      <alignment horizontal="left" vertical="top"/>
    </xf>
    <xf numFmtId="0" fontId="39" fillId="0" borderId="0" xfId="0" applyFont="1" applyAlignment="1">
      <alignment horizontal="left" vertical="top"/>
    </xf>
    <xf numFmtId="0" fontId="39" fillId="0" borderId="0" xfId="0" quotePrefix="1" applyFont="1" applyAlignment="1">
      <alignment horizontal="left" vertical="top"/>
    </xf>
    <xf numFmtId="0" fontId="10" fillId="22" borderId="38" xfId="0" applyFont="1" applyFill="1" applyBorder="1" applyAlignment="1">
      <alignment horizontal="center" vertical="center" wrapText="1"/>
    </xf>
    <xf numFmtId="0" fontId="0" fillId="24" borderId="0" xfId="0" applyFill="1" applyAlignment="1">
      <alignment horizontal="left" vertical="top"/>
    </xf>
    <xf numFmtId="0" fontId="33" fillId="3" borderId="44" xfId="0" applyFont="1" applyFill="1" applyBorder="1" applyAlignment="1">
      <alignment horizontal="left" vertical="center" wrapText="1"/>
    </xf>
    <xf numFmtId="0" fontId="2" fillId="0" borderId="56" xfId="0" applyFont="1" applyBorder="1" applyAlignment="1" applyProtection="1">
      <alignment vertical="top" wrapText="1"/>
      <protection locked="0" hidden="1"/>
    </xf>
    <xf numFmtId="0" fontId="2" fillId="0" borderId="57" xfId="0" applyFont="1" applyBorder="1" applyAlignment="1" applyProtection="1">
      <alignment vertical="top" wrapText="1"/>
      <protection locked="0" hidden="1"/>
    </xf>
    <xf numFmtId="0" fontId="3" fillId="21" borderId="57" xfId="0" applyFont="1" applyFill="1" applyBorder="1" applyAlignment="1" applyProtection="1">
      <alignment horizontal="left" vertical="top" wrapText="1"/>
      <protection locked="0" hidden="1"/>
    </xf>
    <xf numFmtId="0" fontId="2" fillId="0" borderId="58" xfId="0" applyFont="1" applyBorder="1" applyAlignment="1" applyProtection="1">
      <alignment vertical="top" wrapText="1"/>
      <protection locked="0" hidden="1"/>
    </xf>
    <xf numFmtId="0" fontId="3" fillId="5" borderId="61" xfId="0" applyFont="1" applyFill="1" applyBorder="1" applyAlignment="1" applyProtection="1">
      <alignment vertical="top" wrapText="1"/>
      <protection locked="0" hidden="1"/>
    </xf>
    <xf numFmtId="0" fontId="41" fillId="0" borderId="0" xfId="0" applyFont="1" applyAlignment="1">
      <alignment horizontal="left" vertical="top"/>
    </xf>
    <xf numFmtId="0" fontId="3" fillId="24" borderId="29" xfId="0" applyFont="1" applyFill="1" applyBorder="1" applyAlignment="1">
      <alignment horizontal="center" vertical="top" wrapText="1"/>
    </xf>
    <xf numFmtId="0" fontId="10" fillId="25" borderId="28" xfId="0" applyFont="1" applyFill="1" applyBorder="1" applyAlignment="1">
      <alignment horizontal="center" vertical="center"/>
    </xf>
    <xf numFmtId="0" fontId="10" fillId="25" borderId="37" xfId="0" applyFont="1" applyFill="1" applyBorder="1" applyAlignment="1">
      <alignment horizontal="center" vertical="center"/>
    </xf>
    <xf numFmtId="0" fontId="10" fillId="25" borderId="21" xfId="0" applyFont="1" applyFill="1" applyBorder="1" applyAlignment="1">
      <alignment horizontal="center" vertical="center"/>
    </xf>
    <xf numFmtId="0" fontId="10" fillId="25" borderId="49" xfId="0" applyFont="1" applyFill="1" applyBorder="1" applyAlignment="1">
      <alignment horizontal="left" vertical="top"/>
    </xf>
    <xf numFmtId="0" fontId="10" fillId="23" borderId="25" xfId="0" applyFont="1" applyFill="1" applyBorder="1" applyAlignment="1">
      <alignment horizontal="left" vertical="top"/>
    </xf>
    <xf numFmtId="0" fontId="10" fillId="24" borderId="25" xfId="0" applyFont="1" applyFill="1" applyBorder="1" applyAlignment="1">
      <alignment horizontal="left" vertical="top"/>
    </xf>
    <xf numFmtId="0" fontId="10" fillId="0" borderId="2" xfId="0" applyFont="1" applyBorder="1" applyAlignment="1">
      <alignment horizontal="left" vertical="top"/>
    </xf>
    <xf numFmtId="0" fontId="10" fillId="0" borderId="20" xfId="0" applyFont="1" applyBorder="1" applyAlignment="1">
      <alignment horizontal="left" vertical="top"/>
    </xf>
    <xf numFmtId="0" fontId="10" fillId="0" borderId="22" xfId="0" applyFont="1" applyBorder="1" applyAlignment="1">
      <alignment horizontal="left" vertical="top"/>
    </xf>
    <xf numFmtId="0" fontId="10" fillId="0" borderId="23" xfId="0" applyFont="1" applyBorder="1" applyAlignment="1">
      <alignment horizontal="left" vertical="top"/>
    </xf>
    <xf numFmtId="0" fontId="10" fillId="0" borderId="24" xfId="0" applyFont="1" applyBorder="1" applyAlignment="1">
      <alignment horizontal="left" vertical="top"/>
    </xf>
    <xf numFmtId="0" fontId="10" fillId="0" borderId="3" xfId="0" applyFont="1" applyBorder="1" applyAlignment="1">
      <alignment horizontal="left" vertical="top"/>
    </xf>
    <xf numFmtId="0" fontId="10" fillId="0" borderId="67" xfId="0" applyFont="1" applyBorder="1" applyAlignment="1">
      <alignment horizontal="left" vertical="top"/>
    </xf>
    <xf numFmtId="0" fontId="10" fillId="22" borderId="31" xfId="0" applyFont="1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14" fillId="6" borderId="0" xfId="0" applyFont="1" applyFill="1" applyAlignment="1">
      <alignment horizontal="left" vertical="top"/>
    </xf>
    <xf numFmtId="0" fontId="10" fillId="19" borderId="46" xfId="0" applyFont="1" applyFill="1" applyBorder="1" applyAlignment="1">
      <alignment horizontal="left" vertical="top"/>
    </xf>
    <xf numFmtId="0" fontId="10" fillId="19" borderId="35" xfId="0" applyFont="1" applyFill="1" applyBorder="1" applyAlignment="1">
      <alignment horizontal="left" vertical="top"/>
    </xf>
    <xf numFmtId="0" fontId="10" fillId="26" borderId="46" xfId="0" applyFont="1" applyFill="1" applyBorder="1" applyAlignment="1">
      <alignment horizontal="left" vertical="top"/>
    </xf>
    <xf numFmtId="0" fontId="10" fillId="26" borderId="35" xfId="0" applyFont="1" applyFill="1" applyBorder="1" applyAlignment="1">
      <alignment horizontal="left" vertical="top"/>
    </xf>
    <xf numFmtId="0" fontId="20" fillId="0" borderId="45" xfId="0" applyFont="1" applyBorder="1" applyAlignment="1">
      <alignment horizontal="left" vertical="top"/>
    </xf>
    <xf numFmtId="0" fontId="23" fillId="0" borderId="28" xfId="0" applyFont="1" applyBorder="1" applyAlignment="1">
      <alignment horizontal="left" vertical="top" wrapText="1"/>
    </xf>
    <xf numFmtId="0" fontId="22" fillId="2" borderId="28" xfId="0" applyFont="1" applyFill="1" applyBorder="1" applyAlignment="1">
      <alignment horizontal="left" vertical="center" wrapText="1"/>
    </xf>
    <xf numFmtId="0" fontId="22" fillId="2" borderId="28" xfId="0" applyFont="1" applyFill="1" applyBorder="1" applyAlignment="1">
      <alignment vertical="center" wrapText="1"/>
    </xf>
    <xf numFmtId="0" fontId="23" fillId="0" borderId="28" xfId="0" applyFont="1" applyBorder="1" applyAlignment="1">
      <alignment horizontal="center" vertical="top"/>
    </xf>
    <xf numFmtId="0" fontId="22" fillId="2" borderId="28" xfId="0" applyFont="1" applyFill="1" applyBorder="1" applyAlignment="1">
      <alignment vertical="center"/>
    </xf>
    <xf numFmtId="0" fontId="22" fillId="2" borderId="37" xfId="0" applyFont="1" applyFill="1" applyBorder="1" applyAlignment="1">
      <alignment vertical="center" wrapText="1"/>
    </xf>
    <xf numFmtId="0" fontId="20" fillId="0" borderId="69" xfId="0" applyFont="1" applyBorder="1" applyAlignment="1">
      <alignment horizontal="left" vertical="top"/>
    </xf>
    <xf numFmtId="0" fontId="21" fillId="2" borderId="70" xfId="0" applyFont="1" applyFill="1" applyBorder="1" applyAlignment="1">
      <alignment horizontal="left" vertical="center" wrapText="1"/>
    </xf>
    <xf numFmtId="0" fontId="22" fillId="2" borderId="70" xfId="0" applyFont="1" applyFill="1" applyBorder="1" applyAlignment="1">
      <alignment horizontal="left" vertical="center" wrapText="1"/>
    </xf>
    <xf numFmtId="0" fontId="22" fillId="2" borderId="70" xfId="0" applyFont="1" applyFill="1" applyBorder="1" applyAlignment="1">
      <alignment vertical="center" wrapText="1"/>
    </xf>
    <xf numFmtId="0" fontId="22" fillId="2" borderId="68" xfId="0" applyFont="1" applyFill="1" applyBorder="1" applyAlignment="1">
      <alignment vertical="center"/>
    </xf>
    <xf numFmtId="0" fontId="22" fillId="2" borderId="68" xfId="0" applyFont="1" applyFill="1" applyBorder="1" applyAlignment="1">
      <alignment vertical="center" wrapText="1"/>
    </xf>
    <xf numFmtId="0" fontId="10" fillId="24" borderId="16" xfId="0" applyFont="1" applyFill="1" applyBorder="1" applyAlignment="1">
      <alignment horizontal="left" vertical="top"/>
    </xf>
    <xf numFmtId="0" fontId="10" fillId="24" borderId="71" xfId="0" applyFont="1" applyFill="1" applyBorder="1" applyAlignment="1">
      <alignment horizontal="left" vertical="top"/>
    </xf>
    <xf numFmtId="0" fontId="10" fillId="0" borderId="17" xfId="0" applyFont="1" applyBorder="1" applyAlignment="1">
      <alignment horizontal="left" vertical="top"/>
    </xf>
    <xf numFmtId="0" fontId="10" fillId="0" borderId="18" xfId="0" applyFont="1" applyBorder="1" applyAlignment="1">
      <alignment horizontal="left" vertical="top"/>
    </xf>
    <xf numFmtId="0" fontId="10" fillId="0" borderId="21" xfId="0" applyFont="1" applyBorder="1" applyAlignment="1">
      <alignment horizontal="left" vertical="top"/>
    </xf>
    <xf numFmtId="14" fontId="10" fillId="0" borderId="21" xfId="0" applyNumberFormat="1" applyFont="1" applyBorder="1" applyAlignment="1">
      <alignment horizontal="left" vertical="top"/>
    </xf>
    <xf numFmtId="0" fontId="10" fillId="0" borderId="72" xfId="0" applyFont="1" applyBorder="1" applyAlignment="1">
      <alignment horizontal="left" vertical="top"/>
    </xf>
    <xf numFmtId="0" fontId="10" fillId="6" borderId="20" xfId="0" applyFont="1" applyFill="1" applyBorder="1" applyAlignment="1">
      <alignment horizontal="left" vertical="top"/>
    </xf>
    <xf numFmtId="0" fontId="10" fillId="22" borderId="66" xfId="0" applyFont="1" applyFill="1" applyBorder="1" applyAlignment="1">
      <alignment horizontal="left" vertical="top"/>
    </xf>
    <xf numFmtId="0" fontId="10" fillId="23" borderId="54" xfId="0" applyFont="1" applyFill="1" applyBorder="1" applyAlignment="1">
      <alignment horizontal="left" vertical="top"/>
    </xf>
    <xf numFmtId="0" fontId="10" fillId="0" borderId="53" xfId="0" applyFont="1" applyBorder="1" applyAlignment="1">
      <alignment horizontal="left" vertical="top"/>
    </xf>
    <xf numFmtId="0" fontId="10" fillId="10" borderId="20" xfId="0" applyFont="1" applyFill="1" applyBorder="1" applyAlignment="1">
      <alignment horizontal="left" vertical="top"/>
    </xf>
    <xf numFmtId="0" fontId="10" fillId="0" borderId="0" xfId="0" applyFont="1" applyAlignment="1">
      <alignment vertical="top"/>
    </xf>
    <xf numFmtId="0" fontId="10" fillId="24" borderId="12" xfId="0" applyFont="1" applyFill="1" applyBorder="1" applyAlignment="1">
      <alignment horizontal="left" vertical="top"/>
    </xf>
    <xf numFmtId="0" fontId="10" fillId="24" borderId="56" xfId="0" applyFont="1" applyFill="1" applyBorder="1" applyAlignment="1">
      <alignment horizontal="left" vertical="top"/>
    </xf>
    <xf numFmtId="0" fontId="10" fillId="26" borderId="61" xfId="0" applyFont="1" applyFill="1" applyBorder="1" applyAlignment="1">
      <alignment horizontal="left" vertical="top"/>
    </xf>
    <xf numFmtId="0" fontId="10" fillId="26" borderId="57" xfId="0" applyFont="1" applyFill="1" applyBorder="1" applyAlignment="1">
      <alignment horizontal="left" vertical="top"/>
    </xf>
    <xf numFmtId="0" fontId="10" fillId="26" borderId="58" xfId="0" applyFont="1" applyFill="1" applyBorder="1" applyAlignment="1">
      <alignment horizontal="left" vertical="top"/>
    </xf>
    <xf numFmtId="0" fontId="10" fillId="27" borderId="16" xfId="0" applyFont="1" applyFill="1" applyBorder="1" applyAlignment="1">
      <alignment horizontal="left" vertical="top" wrapText="1"/>
    </xf>
    <xf numFmtId="0" fontId="10" fillId="27" borderId="56" xfId="0" applyFont="1" applyFill="1" applyBorder="1" applyAlignment="1">
      <alignment horizontal="left" vertical="top"/>
    </xf>
    <xf numFmtId="0" fontId="10" fillId="27" borderId="46" xfId="0" applyFont="1" applyFill="1" applyBorder="1" applyAlignment="1">
      <alignment horizontal="left" vertical="top" wrapText="1"/>
    </xf>
    <xf numFmtId="0" fontId="10" fillId="2" borderId="0" xfId="0" applyFont="1" applyFill="1" applyAlignment="1">
      <alignment horizontal="left" vertical="top"/>
    </xf>
    <xf numFmtId="0" fontId="10" fillId="0" borderId="49" xfId="0" applyFont="1" applyBorder="1" applyAlignment="1">
      <alignment horizontal="left" vertical="top"/>
    </xf>
    <xf numFmtId="0" fontId="10" fillId="0" borderId="68" xfId="0" applyFont="1" applyBorder="1" applyAlignment="1">
      <alignment horizontal="left" vertical="top"/>
    </xf>
    <xf numFmtId="0" fontId="44" fillId="0" borderId="0" xfId="0" applyFont="1" applyAlignment="1">
      <alignment vertical="center" wrapText="1"/>
    </xf>
    <xf numFmtId="0" fontId="10" fillId="22" borderId="2" xfId="0" applyFont="1" applyFill="1" applyBorder="1" applyAlignment="1">
      <alignment horizontal="left" vertical="top"/>
    </xf>
    <xf numFmtId="0" fontId="30" fillId="22" borderId="0" xfId="0" applyFont="1" applyFill="1"/>
    <xf numFmtId="0" fontId="45" fillId="0" borderId="0" xfId="0" applyFont="1" applyAlignment="1">
      <alignment horizontal="right" vertical="top"/>
    </xf>
    <xf numFmtId="0" fontId="3" fillId="0" borderId="57" xfId="0" applyFont="1" applyBorder="1" applyAlignment="1" applyProtection="1">
      <alignment horizontal="left" vertical="top" wrapText="1"/>
      <protection locked="0" hidden="1"/>
    </xf>
    <xf numFmtId="0" fontId="2" fillId="0" borderId="57" xfId="0" applyFont="1" applyBorder="1" applyAlignment="1" applyProtection="1">
      <alignment horizontal="left" vertical="top" wrapText="1"/>
      <protection locked="0" hidden="1"/>
    </xf>
    <xf numFmtId="14" fontId="2" fillId="0" borderId="62" xfId="0" applyNumberFormat="1" applyFont="1" applyBorder="1" applyAlignment="1" applyProtection="1">
      <alignment horizontal="left" vertical="top" wrapText="1"/>
      <protection locked="0" hidden="1"/>
    </xf>
    <xf numFmtId="14" fontId="2" fillId="0" borderId="62" xfId="0" applyNumberFormat="1" applyFont="1" applyBorder="1" applyAlignment="1" applyProtection="1">
      <alignment horizontal="left" vertical="top" wrapText="1"/>
      <protection locked="0"/>
    </xf>
    <xf numFmtId="0" fontId="2" fillId="0" borderId="58" xfId="0" applyFont="1" applyBorder="1" applyAlignment="1" applyProtection="1">
      <alignment horizontal="left" vertical="top" wrapText="1"/>
      <protection locked="0"/>
    </xf>
    <xf numFmtId="0" fontId="30" fillId="22" borderId="26" xfId="0" applyFont="1" applyFill="1" applyBorder="1" applyAlignment="1">
      <alignment horizontal="left"/>
    </xf>
    <xf numFmtId="0" fontId="7" fillId="0" borderId="19" xfId="0" applyFont="1" applyBorder="1" applyAlignment="1" applyProtection="1">
      <alignment horizontal="left" vertical="top" wrapText="1"/>
      <protection locked="0" hidden="1"/>
    </xf>
    <xf numFmtId="0" fontId="7" fillId="0" borderId="24" xfId="0" applyFont="1" applyBorder="1" applyAlignment="1" applyProtection="1">
      <alignment horizontal="left" vertical="top" wrapText="1"/>
      <protection locked="0" hidden="1"/>
    </xf>
    <xf numFmtId="0" fontId="7" fillId="0" borderId="21" xfId="0" applyFont="1" applyBorder="1" applyAlignment="1" applyProtection="1">
      <alignment horizontal="left" vertical="top" wrapText="1"/>
      <protection locked="0" hidden="1"/>
    </xf>
    <xf numFmtId="14" fontId="7" fillId="0" borderId="21" xfId="0" applyNumberFormat="1" applyFont="1" applyBorder="1" applyAlignment="1" applyProtection="1">
      <alignment horizontal="left" vertical="top" wrapText="1"/>
      <protection locked="0" hidden="1"/>
    </xf>
    <xf numFmtId="0" fontId="7" fillId="0" borderId="43" xfId="0" applyFont="1" applyBorder="1" applyAlignment="1" applyProtection="1">
      <alignment horizontal="left" vertical="top" wrapText="1"/>
      <protection locked="0" hidden="1"/>
    </xf>
    <xf numFmtId="0" fontId="7" fillId="0" borderId="37" xfId="0" applyFont="1" applyBorder="1" applyAlignment="1" applyProtection="1">
      <alignment horizontal="left" vertical="top" wrapText="1"/>
      <protection locked="0" hidden="1"/>
    </xf>
    <xf numFmtId="0" fontId="2" fillId="0" borderId="21" xfId="0" applyFont="1" applyBorder="1" applyAlignment="1" applyProtection="1">
      <alignment horizontal="left" vertical="top" wrapText="1"/>
      <protection locked="0" hidden="1"/>
    </xf>
    <xf numFmtId="0" fontId="2" fillId="0" borderId="24" xfId="0" applyFont="1" applyBorder="1" applyAlignment="1" applyProtection="1">
      <alignment horizontal="left" vertical="top" wrapText="1"/>
      <protection locked="0" hidden="1"/>
    </xf>
    <xf numFmtId="0" fontId="3" fillId="24" borderId="30" xfId="0" applyFont="1" applyFill="1" applyBorder="1" applyAlignment="1">
      <alignment horizontal="left" vertical="top" wrapText="1"/>
    </xf>
    <xf numFmtId="0" fontId="10" fillId="2" borderId="36" xfId="0" applyFont="1" applyFill="1" applyBorder="1" applyAlignment="1">
      <alignment horizontal="left" vertical="top" wrapText="1"/>
    </xf>
    <xf numFmtId="0" fontId="10" fillId="2" borderId="20" xfId="0" applyFont="1" applyFill="1" applyBorder="1" applyAlignment="1">
      <alignment horizontal="left" vertical="top" wrapText="1"/>
    </xf>
    <xf numFmtId="0" fontId="10" fillId="2" borderId="22" xfId="0" applyFont="1" applyFill="1" applyBorder="1" applyAlignment="1">
      <alignment horizontal="left" vertical="top" wrapText="1"/>
    </xf>
    <xf numFmtId="0" fontId="10" fillId="0" borderId="36" xfId="0" applyFont="1" applyBorder="1" applyAlignment="1">
      <alignment horizontal="left" vertical="top" wrapText="1"/>
    </xf>
    <xf numFmtId="0" fontId="10" fillId="0" borderId="20" xfId="0" applyFont="1" applyBorder="1" applyAlignment="1">
      <alignment horizontal="left" vertical="top" wrapText="1"/>
    </xf>
    <xf numFmtId="0" fontId="10" fillId="0" borderId="22" xfId="0" applyFont="1" applyBorder="1" applyAlignment="1">
      <alignment horizontal="left" vertical="top" wrapText="1"/>
    </xf>
    <xf numFmtId="0" fontId="10" fillId="2" borderId="0" xfId="0" applyFont="1" applyFill="1" applyAlignment="1">
      <alignment vertical="top" wrapText="1"/>
    </xf>
    <xf numFmtId="0" fontId="10" fillId="2" borderId="53" xfId="0" applyFont="1" applyFill="1" applyBorder="1" applyAlignment="1">
      <alignment vertical="top" wrapText="1"/>
    </xf>
    <xf numFmtId="0" fontId="0" fillId="28" borderId="0" xfId="0" applyFill="1" applyAlignment="1">
      <alignment horizontal="left" vertical="top"/>
    </xf>
    <xf numFmtId="0" fontId="37" fillId="0" borderId="25" xfId="0" applyFont="1" applyBorder="1" applyAlignment="1">
      <alignment horizontal="center" vertical="top"/>
    </xf>
    <xf numFmtId="0" fontId="37" fillId="0" borderId="54" xfId="0" applyFont="1" applyBorder="1" applyAlignment="1">
      <alignment horizontal="center" vertical="top"/>
    </xf>
    <xf numFmtId="0" fontId="37" fillId="0" borderId="26" xfId="0" applyFont="1" applyBorder="1" applyAlignment="1">
      <alignment horizontal="center" vertical="top"/>
    </xf>
    <xf numFmtId="0" fontId="48" fillId="22" borderId="52" xfId="0" applyFont="1" applyFill="1" applyBorder="1"/>
    <xf numFmtId="0" fontId="56" fillId="22" borderId="7" xfId="0" applyFont="1" applyFill="1" applyBorder="1"/>
    <xf numFmtId="0" fontId="57" fillId="4" borderId="27" xfId="0" applyFont="1" applyFill="1" applyBorder="1" applyAlignment="1">
      <alignment horizontal="left" vertical="top" wrapText="1"/>
    </xf>
    <xf numFmtId="0" fontId="58" fillId="0" borderId="0" xfId="0" applyFont="1" applyAlignment="1">
      <alignment horizontal="left" vertical="top"/>
    </xf>
    <xf numFmtId="0" fontId="58" fillId="0" borderId="0" xfId="0" quotePrefix="1" applyFont="1" applyAlignment="1">
      <alignment horizontal="left" vertical="top"/>
    </xf>
    <xf numFmtId="0" fontId="58" fillId="0" borderId="0" xfId="0" applyFont="1"/>
    <xf numFmtId="0" fontId="58" fillId="0" borderId="2" xfId="0" applyFont="1" applyBorder="1"/>
    <xf numFmtId="0" fontId="58" fillId="0" borderId="2" xfId="0" applyFont="1" applyBorder="1" applyAlignment="1">
      <alignment horizontal="right"/>
    </xf>
    <xf numFmtId="0" fontId="59" fillId="0" borderId="2" xfId="0" applyFont="1" applyBorder="1" applyAlignment="1">
      <alignment horizontal="center"/>
    </xf>
    <xf numFmtId="0" fontId="58" fillId="0" borderId="2" xfId="0" applyFont="1" applyBorder="1" applyAlignment="1">
      <alignment horizontal="left"/>
    </xf>
    <xf numFmtId="0" fontId="58" fillId="29" borderId="2" xfId="0" applyFont="1" applyFill="1" applyBorder="1"/>
    <xf numFmtId="0" fontId="59" fillId="0" borderId="2" xfId="0" applyFont="1" applyBorder="1" applyAlignment="1">
      <alignment horizontal="center" vertical="center"/>
    </xf>
    <xf numFmtId="0" fontId="58" fillId="0" borderId="2" xfId="0" applyFont="1" applyBorder="1" applyAlignment="1">
      <alignment horizontal="right" vertical="top"/>
    </xf>
    <xf numFmtId="0" fontId="58" fillId="0" borderId="2" xfId="0" applyFont="1" applyBorder="1" applyAlignment="1">
      <alignment horizontal="left" vertical="top"/>
    </xf>
    <xf numFmtId="0" fontId="47" fillId="30" borderId="25" xfId="0" applyFont="1" applyFill="1" applyBorder="1" applyAlignment="1">
      <alignment horizontal="left" vertical="top" wrapText="1"/>
    </xf>
    <xf numFmtId="0" fontId="43" fillId="30" borderId="20" xfId="0" applyFont="1" applyFill="1" applyBorder="1" applyAlignment="1">
      <alignment vertical="top" wrapText="1"/>
    </xf>
    <xf numFmtId="0" fontId="49" fillId="30" borderId="46" xfId="0" applyFont="1" applyFill="1" applyBorder="1" applyAlignment="1">
      <alignment horizontal="left" vertical="top" wrapText="1"/>
    </xf>
    <xf numFmtId="0" fontId="49" fillId="30" borderId="51" xfId="0" applyFont="1" applyFill="1" applyBorder="1" applyAlignment="1">
      <alignment horizontal="left" vertical="top" wrapText="1"/>
    </xf>
    <xf numFmtId="0" fontId="49" fillId="30" borderId="59" xfId="0" applyFont="1" applyFill="1" applyBorder="1" applyAlignment="1">
      <alignment horizontal="left" vertical="top" wrapText="1"/>
    </xf>
    <xf numFmtId="0" fontId="49" fillId="30" borderId="60" xfId="0" applyFont="1" applyFill="1" applyBorder="1" applyAlignment="1">
      <alignment horizontal="left" vertical="top" wrapText="1"/>
    </xf>
    <xf numFmtId="0" fontId="33" fillId="31" borderId="46" xfId="0" applyFont="1" applyFill="1" applyBorder="1" applyAlignment="1">
      <alignment horizontal="left" vertical="center" wrapText="1"/>
    </xf>
    <xf numFmtId="0" fontId="33" fillId="31" borderId="55" xfId="0" applyFont="1" applyFill="1" applyBorder="1" applyAlignment="1">
      <alignment horizontal="left" vertical="center" wrapText="1"/>
    </xf>
    <xf numFmtId="0" fontId="33" fillId="31" borderId="20" xfId="0" applyFont="1" applyFill="1" applyBorder="1" applyAlignment="1">
      <alignment horizontal="left" vertical="center" wrapText="1"/>
    </xf>
    <xf numFmtId="0" fontId="31" fillId="30" borderId="64" xfId="0" applyFont="1" applyFill="1" applyBorder="1" applyAlignment="1">
      <alignment horizontal="left" vertical="top" wrapText="1"/>
    </xf>
    <xf numFmtId="0" fontId="31" fillId="30" borderId="41" xfId="0" applyFont="1" applyFill="1" applyBorder="1" applyAlignment="1">
      <alignment horizontal="left" vertical="top" wrapText="1"/>
    </xf>
    <xf numFmtId="0" fontId="31" fillId="31" borderId="41" xfId="0" applyFont="1" applyFill="1" applyBorder="1" applyAlignment="1">
      <alignment horizontal="left" vertical="top" wrapText="1"/>
    </xf>
    <xf numFmtId="0" fontId="33" fillId="31" borderId="50" xfId="0" applyFont="1" applyFill="1" applyBorder="1" applyAlignment="1">
      <alignment horizontal="left" vertical="center" wrapText="1"/>
    </xf>
    <xf numFmtId="0" fontId="33" fillId="31" borderId="36" xfId="0" applyFont="1" applyFill="1" applyBorder="1" applyAlignment="1">
      <alignment horizontal="left" vertical="center" wrapText="1"/>
    </xf>
    <xf numFmtId="0" fontId="33" fillId="31" borderId="45" xfId="0" applyFont="1" applyFill="1" applyBorder="1" applyAlignment="1">
      <alignment horizontal="left" vertical="center" wrapText="1"/>
    </xf>
    <xf numFmtId="0" fontId="33" fillId="31" borderId="22" xfId="0" applyFont="1" applyFill="1" applyBorder="1" applyAlignment="1">
      <alignment horizontal="left" vertical="center" wrapText="1"/>
    </xf>
    <xf numFmtId="0" fontId="31" fillId="30" borderId="32" xfId="0" applyFont="1" applyFill="1" applyBorder="1" applyAlignment="1">
      <alignment horizontal="left" vertical="top" wrapText="1"/>
    </xf>
    <xf numFmtId="0" fontId="33" fillId="31" borderId="2" xfId="0" applyFont="1" applyFill="1" applyBorder="1" applyAlignment="1">
      <alignment horizontal="left" vertical="center" wrapText="1"/>
    </xf>
    <xf numFmtId="0" fontId="31" fillId="31" borderId="64" xfId="0" applyFont="1" applyFill="1" applyBorder="1" applyAlignment="1">
      <alignment horizontal="left" vertical="top" wrapText="1"/>
    </xf>
    <xf numFmtId="0" fontId="61" fillId="30" borderId="25" xfId="0" applyFont="1" applyFill="1" applyBorder="1" applyAlignment="1">
      <alignment vertical="center"/>
    </xf>
    <xf numFmtId="0" fontId="61" fillId="30" borderId="35" xfId="0" applyFont="1" applyFill="1" applyBorder="1" applyAlignment="1">
      <alignment horizontal="left" vertical="center"/>
    </xf>
    <xf numFmtId="0" fontId="43" fillId="30" borderId="44" xfId="0" applyFont="1" applyFill="1" applyBorder="1" applyAlignment="1">
      <alignment vertical="top" wrapText="1"/>
    </xf>
    <xf numFmtId="0" fontId="43" fillId="30" borderId="80" xfId="0" applyFont="1" applyFill="1" applyBorder="1" applyAlignment="1">
      <alignment vertical="top" wrapText="1"/>
    </xf>
    <xf numFmtId="165" fontId="10" fillId="9" borderId="0" xfId="5" applyNumberFormat="1" applyFont="1" applyFill="1" applyAlignment="1">
      <alignment horizontal="right" vertical="top"/>
    </xf>
    <xf numFmtId="0" fontId="10" fillId="0" borderId="37" xfId="0" applyFont="1" applyBorder="1" applyAlignment="1">
      <alignment horizontal="left" vertical="top"/>
    </xf>
    <xf numFmtId="0" fontId="47" fillId="30" borderId="81" xfId="0" applyFont="1" applyFill="1" applyBorder="1" applyAlignment="1">
      <alignment horizontal="left" vertical="top" wrapText="1"/>
    </xf>
    <xf numFmtId="0" fontId="55" fillId="30" borderId="82" xfId="0" applyFont="1" applyFill="1" applyBorder="1" applyAlignment="1">
      <alignment horizontal="left" vertical="top" wrapText="1"/>
    </xf>
    <xf numFmtId="0" fontId="47" fillId="30" borderId="54" xfId="0" applyFont="1" applyFill="1" applyBorder="1" applyAlignment="1">
      <alignment horizontal="left" vertical="top" wrapText="1"/>
    </xf>
    <xf numFmtId="0" fontId="47" fillId="30" borderId="82" xfId="0" applyFont="1" applyFill="1" applyBorder="1" applyAlignment="1">
      <alignment horizontal="left" vertical="top" wrapText="1"/>
    </xf>
    <xf numFmtId="44" fontId="39" fillId="0" borderId="0" xfId="5" applyFont="1" applyAlignment="1">
      <alignment horizontal="left" vertical="top"/>
    </xf>
    <xf numFmtId="44" fontId="2" fillId="0" borderId="57" xfId="5" applyFont="1" applyBorder="1" applyAlignment="1" applyProtection="1">
      <alignment vertical="top" wrapText="1"/>
      <protection locked="0" hidden="1"/>
    </xf>
    <xf numFmtId="0" fontId="10" fillId="0" borderId="56" xfId="0" applyFont="1" applyBorder="1" applyAlignment="1">
      <alignment horizontal="left" vertical="top" wrapText="1"/>
    </xf>
    <xf numFmtId="0" fontId="10" fillId="0" borderId="65" xfId="0" applyFont="1" applyBorder="1" applyAlignment="1">
      <alignment horizontal="left" vertical="top" wrapText="1"/>
    </xf>
    <xf numFmtId="0" fontId="10" fillId="0" borderId="35" xfId="0" applyFont="1" applyBorder="1" applyAlignment="1">
      <alignment horizontal="left" vertical="top"/>
    </xf>
    <xf numFmtId="0" fontId="10" fillId="0" borderId="53" xfId="0" applyFont="1" applyBorder="1" applyAlignment="1">
      <alignment horizontal="left" vertical="top"/>
    </xf>
    <xf numFmtId="0" fontId="10" fillId="9" borderId="0" xfId="0" applyFont="1" applyFill="1" applyAlignment="1">
      <alignment horizontal="center" vertical="top"/>
    </xf>
    <xf numFmtId="0" fontId="44" fillId="0" borderId="0" xfId="0" applyFont="1" applyAlignment="1">
      <alignment horizontal="left" vertical="center" wrapText="1"/>
    </xf>
    <xf numFmtId="0" fontId="10" fillId="19" borderId="0" xfId="0" applyFont="1" applyFill="1" applyAlignment="1">
      <alignment horizontal="center" vertical="top"/>
    </xf>
    <xf numFmtId="0" fontId="10" fillId="11" borderId="0" xfId="0" applyFont="1" applyFill="1" applyAlignment="1">
      <alignment horizontal="center" vertical="top"/>
    </xf>
    <xf numFmtId="0" fontId="10" fillId="2" borderId="65" xfId="0" applyFont="1" applyFill="1" applyBorder="1" applyAlignment="1">
      <alignment horizontal="left" vertical="top" wrapText="1"/>
    </xf>
    <xf numFmtId="0" fontId="52" fillId="0" borderId="3" xfId="0" applyFont="1" applyBorder="1" applyAlignment="1" applyProtection="1">
      <alignment horizontal="left" vertical="top" wrapText="1"/>
      <protection locked="0"/>
    </xf>
    <xf numFmtId="0" fontId="52" fillId="0" borderId="4" xfId="0" applyFont="1" applyBorder="1" applyAlignment="1" applyProtection="1">
      <alignment horizontal="left" vertical="top" wrapText="1"/>
      <protection locked="0"/>
    </xf>
    <xf numFmtId="0" fontId="52" fillId="0" borderId="76" xfId="0" applyFont="1" applyBorder="1" applyAlignment="1" applyProtection="1">
      <alignment horizontal="left" vertical="top" wrapText="1"/>
      <protection locked="0"/>
    </xf>
    <xf numFmtId="0" fontId="10" fillId="6" borderId="0" xfId="0" applyFont="1" applyFill="1" applyAlignment="1">
      <alignment horizontal="center" vertical="top"/>
    </xf>
    <xf numFmtId="0" fontId="52" fillId="0" borderId="72" xfId="0" applyFont="1" applyBorder="1" applyAlignment="1" applyProtection="1">
      <alignment horizontal="left" vertical="top" wrapText="1"/>
      <protection locked="0"/>
    </xf>
    <xf numFmtId="0" fontId="52" fillId="0" borderId="74" xfId="0" applyFont="1" applyBorder="1" applyAlignment="1" applyProtection="1">
      <alignment horizontal="left" vertical="top" wrapText="1"/>
      <protection locked="0"/>
    </xf>
    <xf numFmtId="0" fontId="52" fillId="0" borderId="75" xfId="0" applyFont="1" applyBorder="1" applyAlignment="1" applyProtection="1">
      <alignment horizontal="left" vertical="top" wrapText="1"/>
      <protection locked="0"/>
    </xf>
    <xf numFmtId="0" fontId="53" fillId="30" borderId="73" xfId="0" applyFont="1" applyFill="1" applyBorder="1" applyAlignment="1" applyProtection="1">
      <alignment horizontal="left" vertical="center" wrapText="1"/>
      <protection locked="0"/>
    </xf>
    <xf numFmtId="0" fontId="53" fillId="30" borderId="74" xfId="0" applyFont="1" applyFill="1" applyBorder="1" applyAlignment="1" applyProtection="1">
      <alignment horizontal="left" vertical="center" wrapText="1"/>
      <protection locked="0"/>
    </xf>
    <xf numFmtId="0" fontId="53" fillId="30" borderId="75" xfId="0" applyFont="1" applyFill="1" applyBorder="1" applyAlignment="1" applyProtection="1">
      <alignment horizontal="left" vertical="center" wrapText="1"/>
      <protection locked="0"/>
    </xf>
    <xf numFmtId="0" fontId="53" fillId="30" borderId="31" xfId="0" applyFont="1" applyFill="1" applyBorder="1" applyAlignment="1" applyProtection="1">
      <alignment horizontal="left" vertical="center" wrapText="1"/>
      <protection locked="0"/>
    </xf>
    <xf numFmtId="0" fontId="53" fillId="30" borderId="79" xfId="0" applyFont="1" applyFill="1" applyBorder="1" applyAlignment="1" applyProtection="1">
      <alignment horizontal="left" vertical="center" wrapText="1"/>
      <protection locked="0"/>
    </xf>
    <xf numFmtId="0" fontId="53" fillId="30" borderId="66" xfId="0" applyFont="1" applyFill="1" applyBorder="1" applyAlignment="1" applyProtection="1">
      <alignment horizontal="left" vertical="center" wrapText="1"/>
      <protection locked="0"/>
    </xf>
    <xf numFmtId="0" fontId="62" fillId="0" borderId="0" xfId="0" applyFont="1" applyAlignment="1">
      <alignment horizontal="left" vertical="top" wrapText="1"/>
    </xf>
    <xf numFmtId="0" fontId="10" fillId="0" borderId="0" xfId="0" applyFont="1" applyAlignment="1">
      <alignment horizontal="left" vertical="top" wrapText="1"/>
    </xf>
    <xf numFmtId="0" fontId="10" fillId="0" borderId="77" xfId="0" applyFont="1" applyBorder="1" applyAlignment="1" applyProtection="1">
      <alignment horizontal="left" vertical="top" wrapText="1"/>
      <protection locked="0"/>
    </xf>
    <xf numFmtId="0" fontId="10" fillId="0" borderId="53" xfId="0" applyFont="1" applyBorder="1" applyAlignment="1" applyProtection="1">
      <alignment horizontal="left" vertical="top" wrapText="1"/>
      <protection locked="0"/>
    </xf>
    <xf numFmtId="0" fontId="10" fillId="0" borderId="78" xfId="0" applyFont="1" applyBorder="1" applyAlignment="1" applyProtection="1">
      <alignment horizontal="left" vertical="top" wrapText="1"/>
      <protection locked="0"/>
    </xf>
    <xf numFmtId="0" fontId="10" fillId="0" borderId="28" xfId="0" applyFont="1" applyBorder="1" applyAlignment="1" applyProtection="1">
      <alignment horizontal="left" vertical="top" wrapText="1"/>
      <protection locked="0"/>
    </xf>
    <xf numFmtId="0" fontId="10" fillId="0" borderId="37" xfId="0" applyFont="1" applyBorder="1" applyAlignment="1" applyProtection="1">
      <alignment horizontal="left" vertical="top" wrapText="1"/>
      <protection locked="0"/>
    </xf>
    <xf numFmtId="0" fontId="25" fillId="0" borderId="2" xfId="0" applyFont="1" applyBorder="1" applyAlignment="1" applyProtection="1">
      <alignment horizontal="left" vertical="top" wrapText="1"/>
      <protection locked="0"/>
    </xf>
    <xf numFmtId="0" fontId="25" fillId="0" borderId="21" xfId="0" applyFont="1" applyBorder="1" applyAlignment="1" applyProtection="1">
      <alignment horizontal="left" vertical="top" wrapText="1"/>
      <protection locked="0"/>
    </xf>
    <xf numFmtId="0" fontId="39" fillId="0" borderId="0" xfId="0" applyFont="1" applyAlignment="1">
      <alignment horizontal="center" vertical="top"/>
    </xf>
    <xf numFmtId="0" fontId="54" fillId="30" borderId="42" xfId="0" applyFont="1" applyFill="1" applyBorder="1" applyAlignment="1" applyProtection="1">
      <alignment horizontal="left" vertical="center" wrapText="1"/>
      <protection locked="0"/>
    </xf>
    <xf numFmtId="0" fontId="54" fillId="30" borderId="47" xfId="0" applyFont="1" applyFill="1" applyBorder="1" applyAlignment="1" applyProtection="1">
      <alignment horizontal="left" vertical="center" wrapText="1"/>
      <protection locked="0"/>
    </xf>
    <xf numFmtId="0" fontId="54" fillId="30" borderId="39" xfId="0" applyFont="1" applyFill="1" applyBorder="1" applyAlignment="1" applyProtection="1">
      <alignment horizontal="left" vertical="center" wrapText="1"/>
      <protection locked="0"/>
    </xf>
    <xf numFmtId="0" fontId="54" fillId="30" borderId="40" xfId="0" applyFont="1" applyFill="1" applyBorder="1" applyAlignment="1" applyProtection="1">
      <alignment horizontal="left" vertical="center" wrapText="1"/>
      <protection locked="0"/>
    </xf>
    <xf numFmtId="0" fontId="42" fillId="30" borderId="46" xfId="0" applyFont="1" applyFill="1" applyBorder="1" applyAlignment="1" applyProtection="1">
      <alignment horizontal="left" vertical="center" wrapText="1" indent="30"/>
      <protection locked="0"/>
    </xf>
    <xf numFmtId="0" fontId="42" fillId="30" borderId="47" xfId="0" applyFont="1" applyFill="1" applyBorder="1" applyAlignment="1" applyProtection="1">
      <alignment horizontal="left" vertical="center" wrapText="1" indent="30"/>
      <protection locked="0"/>
    </xf>
    <xf numFmtId="0" fontId="42" fillId="30" borderId="25" xfId="0" applyFont="1" applyFill="1" applyBorder="1" applyAlignment="1" applyProtection="1">
      <alignment horizontal="left" vertical="center" wrapText="1" indent="30"/>
      <protection locked="0"/>
    </xf>
    <xf numFmtId="0" fontId="42" fillId="30" borderId="26" xfId="0" applyFont="1" applyFill="1" applyBorder="1" applyAlignment="1" applyProtection="1">
      <alignment horizontal="left" vertical="center" wrapText="1" indent="30"/>
      <protection locked="0"/>
    </xf>
    <xf numFmtId="0" fontId="42" fillId="30" borderId="63" xfId="0" applyFont="1" applyFill="1" applyBorder="1" applyAlignment="1">
      <alignment horizontal="left" vertical="center" wrapText="1" indent="30"/>
    </xf>
    <xf numFmtId="0" fontId="42" fillId="30" borderId="48" xfId="0" applyFont="1" applyFill="1" applyBorder="1" applyAlignment="1">
      <alignment horizontal="left" vertical="center" wrapText="1" indent="30"/>
    </xf>
    <xf numFmtId="0" fontId="31" fillId="30" borderId="63" xfId="0" applyFont="1" applyFill="1" applyBorder="1" applyAlignment="1">
      <alignment horizontal="left" vertical="center" wrapText="1" indent="30"/>
    </xf>
    <xf numFmtId="0" fontId="31" fillId="30" borderId="48" xfId="0" applyFont="1" applyFill="1" applyBorder="1" applyAlignment="1">
      <alignment horizontal="left" vertical="center" wrapText="1" indent="30"/>
    </xf>
    <xf numFmtId="0" fontId="32" fillId="30" borderId="33" xfId="0" applyFont="1" applyFill="1" applyBorder="1" applyAlignment="1" applyProtection="1">
      <alignment horizontal="left" vertical="center" wrapText="1"/>
      <protection locked="0"/>
    </xf>
    <xf numFmtId="0" fontId="32" fillId="30" borderId="34" xfId="0" applyFont="1" applyFill="1" applyBorder="1" applyAlignment="1" applyProtection="1">
      <alignment horizontal="left" vertical="center" wrapText="1"/>
      <protection locked="0"/>
    </xf>
    <xf numFmtId="0" fontId="40" fillId="24" borderId="0" xfId="0" applyFont="1" applyFill="1" applyAlignment="1">
      <alignment horizontal="center" vertical="top"/>
    </xf>
    <xf numFmtId="0" fontId="46" fillId="28" borderId="0" xfId="0" applyFont="1" applyFill="1" applyAlignment="1">
      <alignment horizontal="left" vertical="top" wrapText="1"/>
    </xf>
    <xf numFmtId="0" fontId="18" fillId="22" borderId="0" xfId="0" applyFont="1" applyFill="1" applyAlignment="1">
      <alignment horizontal="left" vertical="top" wrapText="1"/>
    </xf>
    <xf numFmtId="0" fontId="18" fillId="9" borderId="0" xfId="0" applyFont="1" applyFill="1" applyAlignment="1">
      <alignment horizontal="left" vertical="top" wrapText="1"/>
    </xf>
    <xf numFmtId="0" fontId="34" fillId="3" borderId="0" xfId="0" applyFont="1" applyFill="1" applyAlignment="1">
      <alignment horizontal="center" vertical="top"/>
    </xf>
    <xf numFmtId="0" fontId="36" fillId="9" borderId="0" xfId="0" applyFont="1" applyFill="1" applyAlignment="1">
      <alignment horizontal="center" vertical="center"/>
    </xf>
    <xf numFmtId="0" fontId="10" fillId="18" borderId="2" xfId="0" applyFont="1" applyFill="1" applyBorder="1" applyAlignment="1">
      <alignment horizontal="left" vertical="center"/>
    </xf>
    <xf numFmtId="0" fontId="10" fillId="17" borderId="2" xfId="0" applyFont="1" applyFill="1" applyBorder="1" applyAlignment="1">
      <alignment horizontal="left" vertical="center"/>
    </xf>
    <xf numFmtId="0" fontId="10" fillId="14" borderId="2" xfId="0" applyFont="1" applyFill="1" applyBorder="1" applyAlignment="1">
      <alignment horizontal="left" vertical="center"/>
    </xf>
    <xf numFmtId="0" fontId="10" fillId="9" borderId="2" xfId="0" applyFont="1" applyFill="1" applyBorder="1" applyAlignment="1">
      <alignment horizontal="left" vertical="center"/>
    </xf>
    <xf numFmtId="0" fontId="10" fillId="15" borderId="2" xfId="0" applyFont="1" applyFill="1" applyBorder="1" applyAlignment="1">
      <alignment horizontal="left" vertical="center"/>
    </xf>
    <xf numFmtId="0" fontId="10" fillId="11" borderId="2" xfId="0" applyFont="1" applyFill="1" applyBorder="1" applyAlignment="1">
      <alignment horizontal="left" vertical="center"/>
    </xf>
    <xf numFmtId="0" fontId="10" fillId="10" borderId="2" xfId="0" applyFont="1" applyFill="1" applyBorder="1" applyAlignment="1">
      <alignment horizontal="left" vertical="center"/>
    </xf>
    <xf numFmtId="0" fontId="4" fillId="4" borderId="0" xfId="0" applyFont="1" applyFill="1" applyAlignment="1">
      <alignment horizontal="left" vertical="top"/>
    </xf>
  </cellXfs>
  <cellStyles count="6">
    <cellStyle name="Standard 3" xfId="3" xr:uid="{00000000-0005-0000-0000-000000000000}"/>
    <cellStyle name="Währung 2" xfId="4" xr:uid="{00000000-0005-0000-0000-000001000000}"/>
    <cellStyle name="Гиперссылка" xfId="1" builtinId="8"/>
    <cellStyle name="Денежный" xfId="5" builtinId="4"/>
    <cellStyle name="Обычный" xfId="0" builtinId="0"/>
    <cellStyle name="Процентный" xfId="2" builtinId="5"/>
  </cellStyles>
  <dxfs count="0"/>
  <tableStyles count="0" defaultTableStyle="TableStyleMedium9" defaultPivotStyle="PivotStyleLight16"/>
  <colors>
    <mruColors>
      <color rgb="FF669900"/>
      <color rgb="FF003300"/>
      <color rgb="FF336600"/>
      <color rgb="FF339933"/>
      <color rgb="FF006384"/>
      <color rgb="FF80B0C8"/>
      <color rgb="FFC2CEA6"/>
      <color rgb="FF95A844"/>
      <color rgb="FF71DAFF"/>
      <color rgb="FF00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199465</xdr:colOff>
      <xdr:row>1</xdr:row>
      <xdr:rowOff>196201</xdr:rowOff>
    </xdr:from>
    <xdr:to>
      <xdr:col>8</xdr:col>
      <xdr:colOff>108788</xdr:colOff>
      <xdr:row>7</xdr:row>
      <xdr:rowOff>313765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30318" y="442730"/>
          <a:ext cx="2822852" cy="252682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668432</xdr:colOff>
      <xdr:row>1</xdr:row>
      <xdr:rowOff>1316694</xdr:rowOff>
    </xdr:from>
    <xdr:to>
      <xdr:col>12</xdr:col>
      <xdr:colOff>705342</xdr:colOff>
      <xdr:row>19</xdr:row>
      <xdr:rowOff>75082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7197" y="1473576"/>
          <a:ext cx="6188939" cy="2747682"/>
        </a:xfrm>
        <a:prstGeom prst="rect">
          <a:avLst/>
        </a:prstGeom>
      </xdr:spPr>
    </xdr:pic>
    <xdr:clientData/>
  </xdr:twoCellAnchor>
  <xdr:twoCellAnchor editAs="oneCell">
    <xdr:from>
      <xdr:col>0</xdr:col>
      <xdr:colOff>367618</xdr:colOff>
      <xdr:row>26</xdr:row>
      <xdr:rowOff>9525</xdr:rowOff>
    </xdr:from>
    <xdr:to>
      <xdr:col>9</xdr:col>
      <xdr:colOff>359289</xdr:colOff>
      <xdr:row>30</xdr:row>
      <xdr:rowOff>104775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7618" y="4581525"/>
          <a:ext cx="10126271" cy="2505075"/>
        </a:xfrm>
        <a:prstGeom prst="rect">
          <a:avLst/>
        </a:prstGeom>
      </xdr:spPr>
    </xdr:pic>
    <xdr:clientData/>
  </xdr:twoCellAnchor>
  <xdr:twoCellAnchor editAs="oneCell">
    <xdr:from>
      <xdr:col>0</xdr:col>
      <xdr:colOff>56031</xdr:colOff>
      <xdr:row>32</xdr:row>
      <xdr:rowOff>414616</xdr:rowOff>
    </xdr:from>
    <xdr:to>
      <xdr:col>7</xdr:col>
      <xdr:colOff>425265</xdr:colOff>
      <xdr:row>32</xdr:row>
      <xdr:rowOff>1246653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031" y="8370792"/>
          <a:ext cx="9132234" cy="8320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419697</xdr:colOff>
      <xdr:row>1</xdr:row>
      <xdr:rowOff>1154206</xdr:rowOff>
    </xdr:from>
    <xdr:to>
      <xdr:col>19</xdr:col>
      <xdr:colOff>462614</xdr:colOff>
      <xdr:row>24</xdr:row>
      <xdr:rowOff>134471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284050" y="1311088"/>
          <a:ext cx="4144270" cy="3753971"/>
        </a:xfrm>
        <a:prstGeom prst="rect">
          <a:avLst/>
        </a:prstGeom>
      </xdr:spPr>
    </xdr:pic>
    <xdr:clientData/>
  </xdr:twoCellAnchor>
  <xdr:twoCellAnchor>
    <xdr:from>
      <xdr:col>0</xdr:col>
      <xdr:colOff>9524</xdr:colOff>
      <xdr:row>3</xdr:row>
      <xdr:rowOff>4944</xdr:rowOff>
    </xdr:from>
    <xdr:to>
      <xdr:col>3</xdr:col>
      <xdr:colOff>53575</xdr:colOff>
      <xdr:row>25</xdr:row>
      <xdr:rowOff>40903</xdr:rowOff>
    </xdr:to>
    <xdr:grpSp>
      <xdr:nvGrpSpPr>
        <xdr:cNvPr id="13" name="Группа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pSpPr/>
      </xdr:nvGrpSpPr>
      <xdr:grpSpPr>
        <a:xfrm>
          <a:off x="9524" y="1641003"/>
          <a:ext cx="6072816" cy="3487371"/>
          <a:chOff x="9524" y="1661345"/>
          <a:chExt cx="6057223" cy="3680428"/>
        </a:xfrm>
      </xdr:grpSpPr>
      <xdr:pic>
        <xdr:nvPicPr>
          <xdr:cNvPr id="2" name="Рисунок 1" descr="risk_def">
            <a:extLst>
              <a:ext uri="{FF2B5EF4-FFF2-40B4-BE49-F238E27FC236}">
                <a16:creationId xmlns:a16="http://schemas.microsoft.com/office/drawing/2014/main" id="{00000000-0008-0000-0400-000002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524" y="1666775"/>
            <a:ext cx="6057223" cy="367499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 txBox="1"/>
        </xdr:nvSpPr>
        <xdr:spPr>
          <a:xfrm>
            <a:off x="4653518" y="4515861"/>
            <a:ext cx="1283805" cy="696393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 w="19050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ru-RU" sz="1100" b="1"/>
              <a:t>Влияние,</a:t>
            </a:r>
            <a:r>
              <a:rPr lang="ru-RU" sz="1100" b="1" baseline="0"/>
              <a:t> Последствия, Эффект</a:t>
            </a:r>
            <a:endParaRPr lang="ru-RU" sz="1100" b="1"/>
          </a:p>
        </xdr:txBody>
      </xdr:sp>
      <xdr:cxnSp macro="">
        <xdr:nvCxnSpPr>
          <xdr:cNvPr id="10" name="Прямая со стрелкой 9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CxnSpPr>
            <a:endCxn id="7" idx="0"/>
          </xdr:cNvCxnSpPr>
        </xdr:nvCxnSpPr>
        <xdr:spPr>
          <a:xfrm>
            <a:off x="5271093" y="3633990"/>
            <a:ext cx="24328" cy="88187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 txBox="1"/>
        </xdr:nvSpPr>
        <xdr:spPr>
          <a:xfrm>
            <a:off x="190302" y="1661345"/>
            <a:ext cx="1569907" cy="696393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 w="19050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ru-RU" sz="1100" b="1"/>
              <a:t>Вероятность возникновения причины</a:t>
            </a:r>
          </a:p>
        </xdr:txBody>
      </xdr:sp>
    </xdr:grpSp>
    <xdr:clientData/>
  </xdr:twoCellAnchor>
  <xdr:twoCellAnchor>
    <xdr:from>
      <xdr:col>0</xdr:col>
      <xdr:colOff>224118</xdr:colOff>
      <xdr:row>32</xdr:row>
      <xdr:rowOff>33618</xdr:rowOff>
    </xdr:from>
    <xdr:to>
      <xdr:col>2</xdr:col>
      <xdr:colOff>1893794</xdr:colOff>
      <xdr:row>32</xdr:row>
      <xdr:rowOff>302559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224118" y="7989794"/>
          <a:ext cx="3160058" cy="268941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RCM </a:t>
          </a:r>
          <a:r>
            <a:rPr lang="ru-RU" sz="1100" b="1"/>
            <a:t>триада процесса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2</xdr:row>
      <xdr:rowOff>0</xdr:rowOff>
    </xdr:from>
    <xdr:to>
      <xdr:col>22</xdr:col>
      <xdr:colOff>122413</xdr:colOff>
      <xdr:row>50</xdr:row>
      <xdr:rowOff>132362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1975" y="323850"/>
          <a:ext cx="11295238" cy="79047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59665</xdr:rowOff>
    </xdr:from>
    <xdr:to>
      <xdr:col>18</xdr:col>
      <xdr:colOff>398237</xdr:colOff>
      <xdr:row>39</xdr:row>
      <xdr:rowOff>84575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9665"/>
          <a:ext cx="9999437" cy="63399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mailto:risiko-mngmnt.vrka.r.kal@volkswagen-rus.ru" TargetMode="External"/><Relationship Id="rId1" Type="http://schemas.openxmlformats.org/officeDocument/2006/relationships/hyperlink" Target="mailto:risiko-mngmnt.vrka.r.kal@volkswagen-rus.ru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K15"/>
  <sheetViews>
    <sheetView zoomScale="115" zoomScaleNormal="115" workbookViewId="0">
      <selection activeCell="C28" sqref="C28"/>
    </sheetView>
  </sheetViews>
  <sheetFormatPr defaultColWidth="9.33203125" defaultRowHeight="12.75"/>
  <cols>
    <col min="1" max="1" width="9.33203125" style="14"/>
    <col min="2" max="2" width="43.5" style="14" customWidth="1"/>
    <col min="3" max="3" width="22.1640625" style="14" customWidth="1"/>
    <col min="4" max="4" width="20.83203125" style="14" customWidth="1"/>
    <col min="5" max="5" width="25.1640625" style="14" customWidth="1"/>
    <col min="6" max="6" width="20" style="14" customWidth="1"/>
    <col min="7" max="8" width="11.5" style="14" bestFit="1" customWidth="1"/>
    <col min="9" max="9" width="11.5" style="14" customWidth="1"/>
    <col min="10" max="16384" width="9.33203125" style="14"/>
  </cols>
  <sheetData>
    <row r="1" spans="2:11" ht="20.25" customHeight="1" thickBot="1">
      <c r="B1" s="155" t="s">
        <v>563</v>
      </c>
      <c r="C1" s="287" t="str">
        <f>Риск!C18</f>
        <v>----------</v>
      </c>
      <c r="D1" s="288"/>
      <c r="E1" s="288"/>
      <c r="F1" s="288"/>
      <c r="G1" s="197"/>
      <c r="H1" s="197"/>
      <c r="I1" s="197"/>
    </row>
    <row r="2" spans="2:11" ht="13.5" thickBot="1">
      <c r="B2" s="155" t="s">
        <v>481</v>
      </c>
      <c r="C2" s="156" t="s">
        <v>397</v>
      </c>
      <c r="D2" s="194"/>
      <c r="E2" s="165" t="s">
        <v>492</v>
      </c>
      <c r="F2" s="193"/>
    </row>
    <row r="3" spans="2:11">
      <c r="B3" s="285" t="str">
        <f>IF(Риск!D8&lt;&gt;"",Риск!D8,"")</f>
        <v/>
      </c>
      <c r="C3" s="168" t="s">
        <v>339</v>
      </c>
      <c r="D3" s="14" t="str">
        <f>Оценка!C3</f>
        <v>----------</v>
      </c>
      <c r="E3" s="192" t="s">
        <v>490</v>
      </c>
      <c r="F3" s="190" t="str">
        <f>IF(Оценка!C16&lt;&gt;"",Оценка!C16,"")</f>
        <v/>
      </c>
    </row>
    <row r="4" spans="2:11">
      <c r="B4" s="286"/>
      <c r="C4" s="168" t="s">
        <v>483</v>
      </c>
      <c r="D4" s="14" t="str">
        <f>Оценка!C4</f>
        <v>----------</v>
      </c>
      <c r="E4" s="192" t="s">
        <v>491</v>
      </c>
      <c r="F4" s="190" t="str">
        <f>IF(Оценка!C17&lt;&gt;"",Оценка!C17,"")</f>
        <v/>
      </c>
    </row>
    <row r="5" spans="2:11" ht="13.5" thickBot="1">
      <c r="B5" s="286"/>
      <c r="C5" s="168" t="s">
        <v>528</v>
      </c>
      <c r="D5" s="14">
        <f>Оценка!C15</f>
        <v>0</v>
      </c>
      <c r="E5" s="192"/>
      <c r="F5" s="190"/>
    </row>
    <row r="6" spans="2:11" ht="13.5" thickBot="1">
      <c r="B6" s="286"/>
      <c r="C6" s="156" t="s">
        <v>495</v>
      </c>
      <c r="D6" s="194"/>
      <c r="E6" s="196" t="s">
        <v>498</v>
      </c>
      <c r="F6" s="190" t="str">
        <f>IF(Контрмеры!C12&lt;&gt;"",Контрмеры!C12,"")</f>
        <v/>
      </c>
      <c r="J6" s="14" t="str">
        <f>IF(Контрмеры!G33&lt;&gt;"",Контрмеры!G33,"")</f>
        <v/>
      </c>
      <c r="K6" s="14" t="str">
        <f>IF(Контрмеры!G55&lt;&gt;"",Контрмеры!G55,"")</f>
        <v/>
      </c>
    </row>
    <row r="7" spans="2:11">
      <c r="B7" s="286"/>
      <c r="C7" s="168" t="s">
        <v>487</v>
      </c>
      <c r="D7" s="14" t="str">
        <f>Оценка!C5</f>
        <v>----------</v>
      </c>
      <c r="E7" s="196" t="s">
        <v>499</v>
      </c>
      <c r="F7" s="190" t="str">
        <f>IF(Контрмеры!C34&lt;&gt;"",Контрмеры!C34,"")</f>
        <v/>
      </c>
      <c r="J7" s="14" t="str">
        <f>IF(Контрмеры!G34&lt;&gt;"",Контрмеры!G34,"")</f>
        <v/>
      </c>
      <c r="K7" s="14" t="str">
        <f>IF(Контрмеры!G56&lt;&gt;"",Контрмеры!G56,"")</f>
        <v/>
      </c>
    </row>
    <row r="8" spans="2:11">
      <c r="B8" s="286"/>
      <c r="C8" s="168" t="s">
        <v>488</v>
      </c>
      <c r="D8" s="14" t="str">
        <f>Оценка!C6</f>
        <v>----------</v>
      </c>
      <c r="E8" s="196" t="s">
        <v>500</v>
      </c>
      <c r="F8" s="190" t="str">
        <f>IF(Контрмеры!C56&lt;&gt;"",Контрмеры!C56,"")</f>
        <v/>
      </c>
      <c r="J8" s="14" t="str">
        <f>IF(Контрмеры!G35&lt;&gt;"",Контрмеры!G35,"")</f>
        <v/>
      </c>
      <c r="K8" s="14" t="str">
        <f>IF(Контрмеры!G57&lt;&gt;"",Контрмеры!G57,"")</f>
        <v/>
      </c>
    </row>
    <row r="9" spans="2:11">
      <c r="B9" s="286"/>
      <c r="C9" s="168" t="s">
        <v>496</v>
      </c>
      <c r="D9" s="14" t="str">
        <f>Оценка!C7</f>
        <v>----------</v>
      </c>
      <c r="E9" s="159"/>
      <c r="F9" s="189"/>
    </row>
    <row r="10" spans="2:11" ht="13.5" thickBot="1">
      <c r="B10" s="286"/>
      <c r="C10" s="169" t="s">
        <v>489</v>
      </c>
      <c r="D10" s="195">
        <f>Оценка!C8</f>
        <v>0</v>
      </c>
      <c r="E10" s="160"/>
      <c r="F10" s="162"/>
    </row>
    <row r="11" spans="2:11" ht="13.5" thickBot="1">
      <c r="B11" s="157" t="s">
        <v>482</v>
      </c>
      <c r="C11" s="185" t="s">
        <v>484</v>
      </c>
      <c r="D11" s="186" t="s">
        <v>485</v>
      </c>
      <c r="E11" s="198" t="s">
        <v>486</v>
      </c>
      <c r="F11" s="199" t="s">
        <v>511</v>
      </c>
    </row>
    <row r="12" spans="2:11" ht="54.75" customHeight="1" thickBot="1">
      <c r="B12" s="205" t="s">
        <v>513</v>
      </c>
      <c r="C12" s="203" t="str">
        <f>IF(Контрмеры!C7&lt;&gt;"",Контрмеры!C7,"")</f>
        <v/>
      </c>
      <c r="D12" s="203" t="str">
        <f>IF(Контрмеры!C29&lt;&gt;"",Контрмеры!C29,"")</f>
        <v/>
      </c>
      <c r="E12" s="203" t="str">
        <f>IF(Контрмеры!C51&lt;&gt;"",Контрмеры!C51,"")</f>
        <v/>
      </c>
      <c r="F12" s="204"/>
    </row>
    <row r="13" spans="2:11" ht="18.75" customHeight="1">
      <c r="B13" s="170" t="s">
        <v>537</v>
      </c>
      <c r="C13" s="187" t="str">
        <f>IF(Контрмеры!C15&lt;&gt;"",Контрмеры!C15,"")</f>
        <v/>
      </c>
      <c r="D13" s="188" t="str">
        <f>IF(Контрмеры!C37&lt;&gt;"",Контрмеры!C37,"")</f>
        <v/>
      </c>
      <c r="E13" s="191" t="str">
        <f>IF(Контрмеры!C59&lt;&gt;"",Контрмеры!C59,"")</f>
        <v/>
      </c>
      <c r="F13" s="200" t="str">
        <f>IF(SUM(C13:E13)&lt;&gt;0,SUM(C13:E13),"")</f>
        <v/>
      </c>
    </row>
    <row r="14" spans="2:11" ht="20.25" customHeight="1">
      <c r="B14" s="170" t="s">
        <v>497</v>
      </c>
      <c r="C14" s="159" t="str">
        <f>IF(Контрмеры!C16&lt;&gt;"",Контрмеры!C16,"")</f>
        <v/>
      </c>
      <c r="D14" s="158" t="str">
        <f>IF(Контрмеры!C38&lt;&gt;"",Контрмеры!C38,"")</f>
        <v/>
      </c>
      <c r="E14" s="163" t="str">
        <f>IF(Контрмеры!C60&lt;&gt;"",Контрмеры!C60,"")</f>
        <v/>
      </c>
      <c r="F14" s="201" t="str">
        <f t="shared" ref="F14:F15" si="0">IF(SUM(C14:E14)&lt;&gt;0,SUM(C14:E14),"")</f>
        <v/>
      </c>
    </row>
    <row r="15" spans="2:11" ht="23.25" customHeight="1" thickBot="1">
      <c r="B15" s="171" t="s">
        <v>493</v>
      </c>
      <c r="C15" s="160" t="str">
        <f>IF(Контрмеры!C17&lt;&gt;"",Контрмеры!C17,"")</f>
        <v/>
      </c>
      <c r="D15" s="161" t="str">
        <f>IF(Контрмеры!C39&lt;&gt;"",Контрмеры!C39,"")</f>
        <v/>
      </c>
      <c r="E15" s="164" t="str">
        <f>IF(Контрмеры!C61&lt;&gt;"",Контрмеры!C61,"")</f>
        <v/>
      </c>
      <c r="F15" s="202" t="str">
        <f t="shared" si="0"/>
        <v/>
      </c>
    </row>
  </sheetData>
  <sheetProtection sheet="1" objects="1" scenarios="1"/>
  <mergeCells count="2">
    <mergeCell ref="B3:B10"/>
    <mergeCell ref="C1:F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rgb="FF003300"/>
  </sheetPr>
  <dimension ref="B1:X152"/>
  <sheetViews>
    <sheetView showGridLines="0" tabSelected="1" zoomScaleNormal="100" workbookViewId="0">
      <selection activeCell="D30" sqref="D30:D32"/>
    </sheetView>
  </sheetViews>
  <sheetFormatPr defaultColWidth="9.33203125" defaultRowHeight="12.75"/>
  <cols>
    <col min="1" max="1" width="2.6640625" style="14" customWidth="1"/>
    <col min="2" max="2" width="59.33203125" style="14" customWidth="1"/>
    <col min="3" max="3" width="23.1640625" style="14" customWidth="1"/>
    <col min="4" max="4" width="59.5" style="14" customWidth="1"/>
    <col min="5" max="5" width="37.33203125" style="14" customWidth="1"/>
    <col min="6" max="6" width="31.83203125" style="14" customWidth="1"/>
    <col min="7" max="7" width="12.6640625" style="14" customWidth="1"/>
    <col min="8" max="8" width="16.5" style="14" customWidth="1"/>
    <col min="9" max="9" width="13.6640625" style="14" customWidth="1"/>
    <col min="10" max="16384" width="9.33203125" style="14"/>
  </cols>
  <sheetData>
    <row r="1" spans="2:21" ht="16.5" thickBot="1">
      <c r="B1" s="14" t="s">
        <v>529</v>
      </c>
      <c r="C1" s="240" t="s">
        <v>530</v>
      </c>
      <c r="D1" s="211"/>
      <c r="E1" s="211"/>
      <c r="F1" s="241" t="s">
        <v>560</v>
      </c>
    </row>
    <row r="2" spans="2:21" ht="22.5" customHeight="1">
      <c r="B2" s="301" t="s">
        <v>533</v>
      </c>
      <c r="C2" s="302"/>
      <c r="D2" s="302"/>
      <c r="E2" s="302"/>
      <c r="F2" s="303"/>
      <c r="G2" s="206"/>
      <c r="H2" s="206"/>
      <c r="I2" s="206"/>
      <c r="J2" s="206"/>
      <c r="K2" s="206"/>
      <c r="L2" s="206"/>
      <c r="M2" s="206"/>
      <c r="N2" s="206"/>
      <c r="O2" s="206"/>
      <c r="P2" s="206"/>
      <c r="Q2" s="206"/>
      <c r="R2" s="206"/>
      <c r="S2" s="206"/>
      <c r="T2" s="206"/>
      <c r="U2" s="206"/>
    </row>
    <row r="3" spans="2:21" ht="27" customHeight="1">
      <c r="B3" s="275" t="s">
        <v>531</v>
      </c>
      <c r="C3" s="312" t="s">
        <v>600</v>
      </c>
      <c r="D3" s="312"/>
      <c r="E3" s="312"/>
      <c r="F3" s="313"/>
      <c r="G3" s="206"/>
      <c r="H3" s="206"/>
      <c r="I3" s="206"/>
      <c r="J3" s="206"/>
      <c r="K3" s="206"/>
      <c r="L3" s="206"/>
      <c r="M3" s="206"/>
      <c r="N3" s="206"/>
      <c r="O3" s="206"/>
      <c r="P3" s="206"/>
      <c r="Q3" s="206"/>
      <c r="R3" s="206"/>
      <c r="S3" s="206"/>
      <c r="T3" s="206"/>
      <c r="U3" s="206"/>
    </row>
    <row r="4" spans="2:21" ht="39" customHeight="1">
      <c r="B4" s="275" t="s">
        <v>532</v>
      </c>
      <c r="C4" s="314" t="s">
        <v>601</v>
      </c>
      <c r="D4" s="314"/>
      <c r="E4" s="314"/>
      <c r="F4" s="315"/>
      <c r="G4" s="206"/>
      <c r="H4" s="206"/>
      <c r="I4" s="206"/>
      <c r="J4" s="206"/>
      <c r="K4" s="206"/>
      <c r="L4" s="206"/>
      <c r="M4" s="206"/>
      <c r="N4" s="206"/>
      <c r="O4" s="206"/>
      <c r="P4" s="206"/>
      <c r="Q4" s="206"/>
      <c r="R4" s="206"/>
      <c r="S4" s="206"/>
      <c r="T4" s="206"/>
      <c r="U4" s="206"/>
    </row>
    <row r="5" spans="2:21" ht="39" customHeight="1" thickBot="1">
      <c r="B5" s="276" t="s">
        <v>536</v>
      </c>
      <c r="C5" s="309"/>
      <c r="D5" s="310"/>
      <c r="E5" s="310"/>
      <c r="F5" s="311"/>
      <c r="G5" s="206"/>
      <c r="H5" s="206"/>
      <c r="I5" s="206"/>
      <c r="J5" s="206"/>
      <c r="K5" s="206"/>
      <c r="L5" s="206"/>
      <c r="M5" s="206"/>
      <c r="N5" s="206"/>
      <c r="O5" s="206"/>
      <c r="P5" s="206"/>
      <c r="Q5" s="206"/>
      <c r="R5" s="206"/>
      <c r="S5" s="206"/>
      <c r="T5" s="206"/>
      <c r="U5" s="206"/>
    </row>
    <row r="6" spans="2:21" ht="18.75" customHeight="1" thickBot="1">
      <c r="B6" s="304" t="s">
        <v>602</v>
      </c>
      <c r="C6" s="305"/>
      <c r="D6" s="305"/>
      <c r="E6" s="305"/>
      <c r="F6" s="306"/>
      <c r="G6" s="206"/>
      <c r="H6" s="206"/>
      <c r="I6" s="206"/>
      <c r="J6" s="206"/>
      <c r="K6" s="206"/>
      <c r="L6" s="206"/>
      <c r="M6" s="206"/>
      <c r="N6" s="206"/>
      <c r="O6" s="206"/>
      <c r="P6" s="206"/>
      <c r="Q6" s="206"/>
      <c r="R6" s="206"/>
      <c r="S6" s="206"/>
      <c r="T6" s="206"/>
      <c r="U6" s="206"/>
    </row>
    <row r="7" spans="2:21" ht="38.25" customHeight="1" thickBot="1">
      <c r="B7" s="279" t="s">
        <v>557</v>
      </c>
      <c r="C7" s="280" t="s">
        <v>558</v>
      </c>
      <c r="D7" s="281" t="s">
        <v>559</v>
      </c>
      <c r="E7" s="279" t="s">
        <v>538</v>
      </c>
      <c r="F7" s="282" t="s">
        <v>534</v>
      </c>
      <c r="G7" s="206"/>
      <c r="H7" s="206"/>
      <c r="I7" s="206"/>
      <c r="J7" s="206"/>
      <c r="K7" s="206"/>
      <c r="L7" s="206"/>
      <c r="M7" s="206"/>
      <c r="N7" s="206"/>
      <c r="O7" s="206"/>
      <c r="P7" s="206"/>
      <c r="Q7" s="206"/>
      <c r="R7" s="206"/>
      <c r="S7" s="206"/>
      <c r="T7" s="206"/>
      <c r="U7" s="206"/>
    </row>
    <row r="8" spans="2:21" ht="27.75" customHeight="1">
      <c r="B8" s="228"/>
      <c r="C8" s="278" t="s">
        <v>330</v>
      </c>
      <c r="D8" s="293"/>
      <c r="E8" s="231"/>
      <c r="F8" s="278"/>
      <c r="G8" s="206"/>
      <c r="H8" s="206"/>
      <c r="I8" s="206"/>
      <c r="J8" s="206"/>
      <c r="K8" s="206"/>
      <c r="L8" s="206"/>
      <c r="M8" s="206"/>
      <c r="N8" s="206"/>
      <c r="O8" s="206"/>
      <c r="P8" s="206"/>
      <c r="Q8" s="206"/>
      <c r="R8" s="206"/>
      <c r="S8" s="206"/>
      <c r="T8" s="206"/>
      <c r="U8" s="206"/>
    </row>
    <row r="9" spans="2:21" ht="27.75" customHeight="1">
      <c r="B9" s="229"/>
      <c r="C9" s="189" t="s">
        <v>330</v>
      </c>
      <c r="D9" s="293"/>
      <c r="E9" s="232"/>
      <c r="F9" s="189" t="s">
        <v>330</v>
      </c>
      <c r="G9" s="206"/>
      <c r="H9" s="206"/>
      <c r="I9" s="206"/>
      <c r="J9" s="206"/>
      <c r="K9" s="206"/>
      <c r="L9" s="206"/>
      <c r="M9" s="206"/>
      <c r="N9" s="206"/>
      <c r="O9" s="206"/>
      <c r="P9" s="206"/>
      <c r="Q9" s="206"/>
      <c r="R9" s="206"/>
      <c r="S9" s="206"/>
      <c r="T9" s="206"/>
      <c r="U9" s="206"/>
    </row>
    <row r="10" spans="2:21" ht="27.75" customHeight="1">
      <c r="B10" s="229"/>
      <c r="C10" s="189" t="s">
        <v>330</v>
      </c>
      <c r="D10" s="293"/>
      <c r="E10" s="232"/>
      <c r="F10" s="189" t="s">
        <v>330</v>
      </c>
      <c r="G10" s="206"/>
      <c r="H10" s="206"/>
      <c r="I10" s="206"/>
      <c r="J10" s="206"/>
      <c r="K10" s="206"/>
      <c r="L10" s="206"/>
      <c r="M10" s="206"/>
      <c r="N10" s="206"/>
      <c r="O10" s="206"/>
      <c r="P10" s="206"/>
      <c r="Q10" s="206"/>
      <c r="R10" s="206"/>
      <c r="S10" s="206"/>
      <c r="T10" s="206"/>
      <c r="U10" s="206"/>
    </row>
    <row r="11" spans="2:21" ht="27.75" customHeight="1">
      <c r="B11" s="229"/>
      <c r="C11" s="189" t="s">
        <v>330</v>
      </c>
      <c r="D11" s="293"/>
      <c r="E11" s="232"/>
      <c r="F11" s="189" t="s">
        <v>330</v>
      </c>
      <c r="G11" s="206"/>
      <c r="H11" s="206"/>
      <c r="I11" s="206"/>
      <c r="J11" s="206"/>
      <c r="K11" s="206"/>
      <c r="L11" s="206"/>
      <c r="M11" s="206"/>
      <c r="N11" s="206"/>
      <c r="O11" s="206"/>
      <c r="P11" s="206"/>
      <c r="Q11" s="206"/>
      <c r="R11" s="206"/>
      <c r="S11" s="206"/>
      <c r="T11" s="206"/>
      <c r="U11" s="206"/>
    </row>
    <row r="12" spans="2:21" ht="27.75" customHeight="1">
      <c r="B12" s="229"/>
      <c r="C12" s="189" t="s">
        <v>330</v>
      </c>
      <c r="D12" s="293"/>
      <c r="E12" s="232"/>
      <c r="F12" s="189" t="s">
        <v>330</v>
      </c>
      <c r="G12" s="206"/>
      <c r="H12" s="206"/>
      <c r="I12" s="206"/>
      <c r="J12" s="206"/>
      <c r="K12" s="206"/>
      <c r="L12" s="206"/>
      <c r="M12" s="206"/>
      <c r="N12" s="206"/>
      <c r="O12" s="206"/>
      <c r="P12" s="206"/>
      <c r="Q12" s="206"/>
      <c r="R12" s="206"/>
      <c r="S12" s="206"/>
      <c r="T12" s="206"/>
      <c r="U12" s="206"/>
    </row>
    <row r="13" spans="2:21" ht="27.75" customHeight="1">
      <c r="B13" s="229"/>
      <c r="C13" s="189" t="s">
        <v>330</v>
      </c>
      <c r="D13" s="293"/>
      <c r="E13" s="232"/>
      <c r="F13" s="189" t="s">
        <v>330</v>
      </c>
      <c r="G13" s="206"/>
      <c r="H13" s="206"/>
      <c r="I13" s="206"/>
      <c r="J13" s="206"/>
      <c r="K13" s="206"/>
      <c r="L13" s="206"/>
      <c r="M13" s="206"/>
      <c r="N13" s="206"/>
      <c r="O13" s="206"/>
      <c r="P13" s="206"/>
      <c r="Q13" s="206"/>
      <c r="R13" s="206"/>
      <c r="S13" s="206"/>
      <c r="T13" s="206"/>
      <c r="U13" s="206"/>
    </row>
    <row r="14" spans="2:21" ht="27.75" customHeight="1">
      <c r="B14" s="229"/>
      <c r="C14" s="189" t="s">
        <v>330</v>
      </c>
      <c r="D14" s="293"/>
      <c r="E14" s="232"/>
      <c r="F14" s="189" t="s">
        <v>330</v>
      </c>
      <c r="G14" s="206"/>
      <c r="H14" s="206"/>
      <c r="I14" s="206"/>
      <c r="J14" s="206"/>
      <c r="K14" s="206"/>
      <c r="L14" s="206"/>
      <c r="M14" s="206"/>
      <c r="N14" s="206"/>
      <c r="O14" s="206"/>
      <c r="P14" s="206"/>
      <c r="Q14" s="206"/>
      <c r="R14" s="206"/>
      <c r="S14" s="206"/>
      <c r="T14" s="206"/>
      <c r="U14" s="206"/>
    </row>
    <row r="15" spans="2:21" ht="27.75" customHeight="1" thickBot="1">
      <c r="B15" s="230"/>
      <c r="C15" s="162" t="s">
        <v>330</v>
      </c>
      <c r="D15" s="234"/>
      <c r="E15" s="233"/>
      <c r="F15" s="162" t="s">
        <v>330</v>
      </c>
      <c r="G15" s="206"/>
      <c r="H15" s="206"/>
      <c r="I15" s="206"/>
      <c r="J15" s="206"/>
      <c r="K15" s="206"/>
      <c r="L15" s="206"/>
      <c r="M15" s="206"/>
      <c r="N15" s="206"/>
      <c r="O15" s="206"/>
      <c r="P15" s="206"/>
      <c r="Q15" s="206"/>
      <c r="R15" s="206"/>
      <c r="S15" s="206"/>
      <c r="T15" s="206"/>
      <c r="U15" s="206"/>
    </row>
    <row r="16" spans="2:21" ht="24" customHeight="1" thickBot="1">
      <c r="B16" s="254" t="s">
        <v>535</v>
      </c>
      <c r="C16" s="207" t="s">
        <v>330</v>
      </c>
      <c r="D16" s="235"/>
      <c r="E16" s="254" t="s">
        <v>539</v>
      </c>
      <c r="F16" s="208" t="s">
        <v>330</v>
      </c>
      <c r="G16" s="206"/>
      <c r="H16" s="206"/>
      <c r="I16" s="206"/>
      <c r="J16" s="206"/>
      <c r="K16" s="206"/>
      <c r="L16" s="206"/>
      <c r="M16" s="206"/>
      <c r="N16" s="206"/>
      <c r="O16" s="206"/>
      <c r="P16" s="206"/>
      <c r="Q16" s="206"/>
      <c r="R16" s="206"/>
      <c r="S16" s="206"/>
      <c r="T16" s="206"/>
      <c r="U16" s="206"/>
    </row>
    <row r="17" spans="2:24" ht="24" customHeight="1" thickBot="1">
      <c r="B17" s="304" t="s">
        <v>603</v>
      </c>
      <c r="C17" s="305"/>
      <c r="D17" s="305"/>
      <c r="E17" s="305"/>
      <c r="F17" s="306"/>
      <c r="G17" s="206"/>
      <c r="H17" s="206"/>
      <c r="I17" s="206"/>
      <c r="J17" s="206"/>
      <c r="K17" s="206"/>
      <c r="L17" s="206"/>
      <c r="M17" s="206"/>
      <c r="N17" s="206"/>
      <c r="O17" s="206"/>
      <c r="P17" s="206"/>
      <c r="Q17" s="206"/>
      <c r="R17" s="206"/>
      <c r="S17" s="206"/>
      <c r="T17" s="206"/>
      <c r="U17" s="206"/>
    </row>
    <row r="18" spans="2:24" ht="24.75" customHeight="1">
      <c r="B18" s="255" t="s">
        <v>553</v>
      </c>
      <c r="C18" s="298" t="s">
        <v>330</v>
      </c>
      <c r="D18" s="299"/>
      <c r="E18" s="299"/>
      <c r="F18" s="300"/>
      <c r="G18" s="206"/>
      <c r="H18" s="206"/>
      <c r="I18" s="206"/>
      <c r="J18" s="206"/>
      <c r="K18" s="206"/>
      <c r="L18" s="206"/>
      <c r="M18" s="206"/>
      <c r="N18" s="206"/>
      <c r="O18" s="206"/>
      <c r="P18" s="206"/>
      <c r="Q18" s="206"/>
      <c r="R18" s="206"/>
      <c r="S18" s="206"/>
      <c r="T18" s="206"/>
      <c r="U18" s="206"/>
    </row>
    <row r="19" spans="2:24" ht="21" customHeight="1">
      <c r="B19" s="255" t="s">
        <v>554</v>
      </c>
      <c r="C19" s="294" t="s">
        <v>330</v>
      </c>
      <c r="D19" s="295"/>
      <c r="E19" s="295"/>
      <c r="F19" s="296"/>
      <c r="G19" s="206"/>
      <c r="H19" s="206"/>
      <c r="I19" s="206"/>
      <c r="J19" s="206"/>
      <c r="K19" s="206"/>
      <c r="L19" s="206"/>
      <c r="M19" s="206"/>
      <c r="N19" s="206"/>
      <c r="O19" s="206"/>
      <c r="P19" s="206"/>
      <c r="Q19" s="206"/>
      <c r="R19" s="206"/>
      <c r="S19" s="206"/>
      <c r="T19" s="206"/>
      <c r="U19" s="206"/>
    </row>
    <row r="20" spans="2:24" ht="21" customHeight="1">
      <c r="B20" s="255" t="s">
        <v>555</v>
      </c>
      <c r="C20" s="294" t="s">
        <v>454</v>
      </c>
      <c r="D20" s="295"/>
      <c r="E20" s="295"/>
      <c r="F20" s="296"/>
      <c r="G20" s="206"/>
      <c r="H20" s="206"/>
      <c r="I20" s="206"/>
      <c r="J20" s="206"/>
      <c r="K20" s="206"/>
      <c r="L20" s="206"/>
      <c r="M20" s="206"/>
      <c r="N20" s="206"/>
      <c r="O20" s="206"/>
      <c r="P20" s="206"/>
      <c r="Q20" s="206"/>
      <c r="R20" s="206"/>
      <c r="S20" s="206"/>
      <c r="T20" s="206"/>
      <c r="U20" s="206"/>
    </row>
    <row r="21" spans="2:24" ht="21" customHeight="1">
      <c r="B21" s="255" t="s">
        <v>604</v>
      </c>
      <c r="C21" s="294" t="s">
        <v>454</v>
      </c>
      <c r="D21" s="295"/>
      <c r="E21" s="295"/>
      <c r="F21" s="296"/>
      <c r="G21" s="206"/>
      <c r="H21" s="206"/>
      <c r="I21" s="206"/>
      <c r="J21" s="206"/>
      <c r="K21" s="206"/>
      <c r="L21" s="206"/>
      <c r="M21" s="206"/>
      <c r="N21" s="206"/>
      <c r="O21" s="206"/>
      <c r="P21" s="206"/>
      <c r="Q21" s="206"/>
      <c r="R21" s="206"/>
      <c r="S21" s="206"/>
      <c r="T21" s="206"/>
      <c r="U21" s="206"/>
    </row>
    <row r="22" spans="2:24" ht="17.100000000000001" customHeight="1">
      <c r="G22" s="206"/>
      <c r="H22" s="206"/>
      <c r="I22" s="206"/>
      <c r="J22" s="206"/>
      <c r="K22" s="206"/>
      <c r="L22" s="206"/>
      <c r="M22" s="206"/>
      <c r="N22" s="206"/>
      <c r="O22" s="206"/>
      <c r="P22" s="206"/>
      <c r="Q22" s="206"/>
      <c r="R22" s="206"/>
      <c r="S22" s="206"/>
      <c r="T22" s="206"/>
      <c r="U22" s="206"/>
    </row>
    <row r="23" spans="2:24">
      <c r="B23" s="307"/>
      <c r="C23" s="308"/>
      <c r="D23" s="308"/>
      <c r="E23" s="308"/>
      <c r="F23" s="308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</row>
    <row r="24" spans="2:24" ht="15.95" customHeight="1">
      <c r="D24" s="206"/>
      <c r="E24" s="206"/>
      <c r="F24" s="206"/>
      <c r="G24" s="206"/>
      <c r="H24" s="206"/>
      <c r="I24" s="206"/>
      <c r="J24" s="206"/>
      <c r="K24" s="206"/>
      <c r="L24" s="206"/>
      <c r="M24" s="206"/>
      <c r="N24" s="206"/>
      <c r="O24" s="206"/>
      <c r="P24" s="206"/>
      <c r="Q24" s="206"/>
      <c r="R24" s="206"/>
      <c r="S24" s="206"/>
      <c r="T24" s="206"/>
      <c r="U24" s="206"/>
    </row>
    <row r="25" spans="2:24" ht="15.95" customHeight="1">
      <c r="F25" s="206"/>
      <c r="G25" s="206"/>
      <c r="H25" s="206"/>
      <c r="I25" s="206"/>
      <c r="J25" s="206"/>
      <c r="K25" s="206"/>
      <c r="L25" s="206"/>
      <c r="M25" s="206"/>
      <c r="N25" s="206"/>
      <c r="O25" s="206"/>
      <c r="P25" s="206"/>
      <c r="Q25" s="206"/>
      <c r="R25" s="206"/>
      <c r="S25" s="206"/>
      <c r="T25" s="206"/>
      <c r="U25" s="206"/>
    </row>
    <row r="26" spans="2:24" ht="17.100000000000001" customHeight="1">
      <c r="E26" s="206"/>
      <c r="F26" s="206"/>
      <c r="G26" s="206"/>
      <c r="H26" s="206"/>
      <c r="I26" s="206"/>
      <c r="J26" s="206"/>
      <c r="K26" s="206"/>
      <c r="L26" s="206"/>
      <c r="M26" s="206"/>
      <c r="N26" s="206"/>
      <c r="O26" s="206"/>
      <c r="P26" s="206"/>
      <c r="Q26" s="206"/>
      <c r="R26" s="206"/>
      <c r="S26" s="206"/>
      <c r="T26" s="206"/>
      <c r="U26" s="206"/>
    </row>
    <row r="27" spans="2:24" ht="17.100000000000001" customHeight="1">
      <c r="E27" s="206"/>
      <c r="F27" s="206"/>
      <c r="G27" s="206"/>
      <c r="H27" s="206"/>
      <c r="I27" s="206"/>
      <c r="J27" s="206"/>
      <c r="K27" s="206"/>
      <c r="L27" s="206"/>
      <c r="M27" s="206"/>
      <c r="N27" s="206"/>
      <c r="O27" s="206"/>
      <c r="P27" s="206"/>
      <c r="Q27" s="206"/>
      <c r="R27" s="206"/>
      <c r="S27" s="206"/>
      <c r="T27" s="206"/>
      <c r="U27" s="206"/>
    </row>
    <row r="28" spans="2:24" ht="17.100000000000001" customHeight="1">
      <c r="E28" s="206"/>
      <c r="F28" s="206"/>
      <c r="G28" s="206"/>
      <c r="H28" s="206"/>
      <c r="I28" s="206"/>
      <c r="J28" s="206"/>
      <c r="K28" s="206"/>
      <c r="L28" s="206"/>
      <c r="M28" s="206"/>
      <c r="N28" s="206"/>
      <c r="O28" s="206"/>
      <c r="P28" s="206"/>
      <c r="Q28" s="206"/>
      <c r="R28" s="206"/>
      <c r="S28" s="206"/>
      <c r="T28" s="206"/>
      <c r="U28" s="206"/>
      <c r="V28" s="206"/>
      <c r="W28" s="206"/>
      <c r="X28" s="206"/>
    </row>
    <row r="29" spans="2:24" ht="17.100000000000001" customHeight="1">
      <c r="D29" s="206"/>
      <c r="G29" s="206"/>
      <c r="H29" s="206"/>
      <c r="I29" s="206"/>
      <c r="J29" s="206"/>
      <c r="K29" s="206"/>
      <c r="L29" s="206"/>
      <c r="M29" s="206"/>
      <c r="N29" s="206"/>
      <c r="O29" s="206"/>
      <c r="P29" s="206"/>
      <c r="Q29" s="206"/>
      <c r="R29" s="206"/>
      <c r="S29" s="206"/>
      <c r="T29" s="206"/>
      <c r="U29" s="206"/>
    </row>
    <row r="30" spans="2:24" ht="17.100000000000001" customHeight="1">
      <c r="D30" s="290"/>
      <c r="E30" s="206"/>
      <c r="F30" s="206"/>
      <c r="G30" s="206"/>
      <c r="H30" s="206"/>
      <c r="I30" s="206"/>
      <c r="J30" s="206"/>
      <c r="K30" s="206"/>
      <c r="L30" s="206"/>
      <c r="M30" s="206"/>
      <c r="N30" s="206"/>
      <c r="O30" s="206"/>
      <c r="P30" s="206"/>
      <c r="Q30" s="206"/>
      <c r="R30" s="206"/>
      <c r="S30" s="206"/>
      <c r="T30" s="206"/>
      <c r="U30" s="206"/>
    </row>
    <row r="31" spans="2:24" ht="14.25" customHeight="1">
      <c r="D31" s="290"/>
      <c r="E31" s="206"/>
      <c r="F31" s="206"/>
      <c r="G31" s="206"/>
      <c r="H31" s="206"/>
      <c r="I31" s="206"/>
      <c r="J31" s="206"/>
      <c r="K31" s="206"/>
      <c r="L31" s="206"/>
      <c r="M31" s="206"/>
      <c r="N31" s="206"/>
      <c r="O31" s="206"/>
      <c r="P31" s="206"/>
      <c r="Q31" s="206"/>
      <c r="R31" s="206"/>
      <c r="S31" s="206"/>
      <c r="T31" s="206"/>
      <c r="U31" s="206"/>
    </row>
    <row r="32" spans="2:24" ht="17.100000000000001" customHeight="1">
      <c r="D32" s="290"/>
      <c r="E32" s="206"/>
      <c r="F32" s="206"/>
      <c r="G32" s="206"/>
      <c r="H32" s="206"/>
      <c r="I32" s="206"/>
      <c r="J32" s="206"/>
      <c r="K32" s="206"/>
      <c r="L32" s="206"/>
      <c r="M32" s="206"/>
      <c r="N32" s="206"/>
      <c r="O32" s="206"/>
      <c r="P32" s="206"/>
      <c r="Q32" s="206"/>
      <c r="R32" s="206"/>
      <c r="S32" s="206"/>
      <c r="T32" s="206"/>
      <c r="U32" s="206"/>
    </row>
    <row r="33" spans="4:21" ht="17.100000000000001" customHeight="1">
      <c r="D33" s="206"/>
      <c r="E33" s="206"/>
      <c r="F33" s="206"/>
      <c r="G33" s="206"/>
      <c r="H33" s="206"/>
      <c r="I33" s="206"/>
      <c r="J33" s="206"/>
      <c r="K33" s="206"/>
      <c r="L33" s="206"/>
      <c r="M33" s="206"/>
      <c r="N33" s="206"/>
      <c r="O33" s="206"/>
      <c r="P33" s="206"/>
      <c r="Q33" s="206"/>
      <c r="R33" s="206"/>
      <c r="S33" s="206"/>
      <c r="T33" s="206"/>
      <c r="U33" s="206"/>
    </row>
    <row r="34" spans="4:21" ht="17.100000000000001" customHeight="1">
      <c r="D34" s="206"/>
      <c r="E34" s="206"/>
      <c r="F34" s="206"/>
      <c r="G34" s="206"/>
      <c r="H34" s="206"/>
      <c r="I34" s="206"/>
      <c r="J34" s="206"/>
      <c r="K34" s="206"/>
      <c r="L34" s="206"/>
      <c r="M34" s="206"/>
      <c r="N34" s="206"/>
      <c r="O34" s="206"/>
      <c r="P34" s="206"/>
      <c r="Q34" s="206"/>
      <c r="R34" s="206"/>
      <c r="S34" s="206"/>
      <c r="T34" s="206"/>
      <c r="U34" s="206"/>
    </row>
    <row r="35" spans="4:21" ht="15.95" customHeight="1">
      <c r="D35" s="206"/>
      <c r="E35" s="206"/>
      <c r="F35" s="206"/>
      <c r="G35" s="206"/>
      <c r="H35" s="206"/>
      <c r="I35" s="206"/>
      <c r="J35" s="206"/>
      <c r="K35" s="206"/>
      <c r="L35" s="206"/>
      <c r="M35" s="206"/>
      <c r="N35" s="206"/>
      <c r="O35" s="206"/>
      <c r="P35" s="206"/>
      <c r="Q35" s="206"/>
      <c r="R35" s="206"/>
      <c r="S35" s="206"/>
      <c r="T35" s="206"/>
      <c r="U35" s="206"/>
    </row>
    <row r="36" spans="4:21" ht="102" customHeight="1">
      <c r="D36" s="206"/>
      <c r="E36" s="206"/>
      <c r="F36" s="206"/>
      <c r="G36" s="206"/>
      <c r="H36" s="206"/>
      <c r="I36" s="206"/>
      <c r="J36" s="206"/>
      <c r="K36" s="206"/>
      <c r="L36" s="206"/>
      <c r="M36" s="206"/>
      <c r="N36" s="206"/>
      <c r="O36" s="206"/>
      <c r="P36" s="206"/>
      <c r="Q36" s="206"/>
      <c r="R36" s="206"/>
      <c r="S36" s="206"/>
      <c r="T36" s="206"/>
      <c r="U36" s="206"/>
    </row>
    <row r="37" spans="4:21" ht="12.75" customHeight="1">
      <c r="D37" s="209"/>
      <c r="E37" s="206"/>
      <c r="F37" s="206"/>
    </row>
    <row r="38" spans="4:21" ht="15.95" customHeight="1">
      <c r="D38" s="209"/>
      <c r="G38" s="206"/>
      <c r="H38" s="206"/>
      <c r="I38" s="206"/>
      <c r="J38" s="206"/>
      <c r="K38" s="206"/>
      <c r="L38" s="206"/>
      <c r="M38" s="206"/>
      <c r="N38" s="206"/>
      <c r="O38" s="206"/>
      <c r="P38" s="206"/>
      <c r="Q38" s="206"/>
      <c r="R38" s="206"/>
      <c r="S38" s="206"/>
      <c r="T38" s="206"/>
      <c r="U38" s="206"/>
    </row>
    <row r="39" spans="4:21" ht="15.95" customHeight="1">
      <c r="D39" s="209"/>
      <c r="E39" s="206"/>
      <c r="F39" s="206"/>
      <c r="G39" s="206"/>
      <c r="H39" s="206"/>
      <c r="I39" s="206"/>
      <c r="J39" s="206"/>
      <c r="K39" s="206"/>
      <c r="L39" s="206"/>
      <c r="M39" s="206"/>
      <c r="N39" s="206"/>
      <c r="O39" s="206"/>
      <c r="P39" s="206"/>
      <c r="Q39" s="206"/>
      <c r="R39" s="206"/>
      <c r="S39" s="206"/>
      <c r="T39" s="206"/>
      <c r="U39" s="206"/>
    </row>
    <row r="40" spans="4:21" ht="17.100000000000001" customHeight="1">
      <c r="D40" s="209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6"/>
      <c r="P40" s="206"/>
      <c r="Q40" s="206"/>
      <c r="R40" s="206"/>
      <c r="S40" s="206"/>
      <c r="T40" s="206"/>
      <c r="U40" s="206"/>
    </row>
    <row r="41" spans="4:21" ht="48" customHeight="1">
      <c r="D41" s="209"/>
      <c r="E41" s="206"/>
      <c r="F41" s="206"/>
      <c r="G41" s="206"/>
      <c r="H41" s="206"/>
      <c r="I41" s="206"/>
      <c r="J41" s="206"/>
      <c r="K41" s="206"/>
      <c r="L41" s="206"/>
      <c r="M41" s="206"/>
      <c r="N41" s="206"/>
      <c r="O41" s="206"/>
      <c r="P41" s="206"/>
      <c r="Q41" s="206"/>
      <c r="R41" s="206"/>
      <c r="S41" s="206"/>
      <c r="T41" s="206"/>
      <c r="U41" s="206"/>
    </row>
    <row r="42" spans="4:21" ht="15.75" customHeight="1">
      <c r="D42" s="206"/>
      <c r="E42" s="206"/>
      <c r="F42" s="206"/>
      <c r="G42" s="206"/>
      <c r="H42" s="206"/>
      <c r="I42" s="206"/>
      <c r="J42" s="206"/>
      <c r="K42" s="206"/>
      <c r="L42" s="206"/>
      <c r="M42" s="206"/>
      <c r="N42" s="206"/>
      <c r="O42" s="206"/>
      <c r="P42" s="206"/>
      <c r="Q42" s="206"/>
      <c r="R42" s="206"/>
      <c r="S42" s="206"/>
      <c r="T42" s="206"/>
      <c r="U42" s="206"/>
    </row>
    <row r="43" spans="4:21" ht="15.75" customHeight="1">
      <c r="D43" s="206"/>
      <c r="E43" s="206"/>
      <c r="F43" s="206"/>
      <c r="G43" s="206"/>
      <c r="H43" s="206"/>
      <c r="I43" s="206"/>
      <c r="J43" s="206"/>
      <c r="K43" s="206"/>
      <c r="L43" s="206"/>
      <c r="M43" s="206"/>
      <c r="N43" s="206"/>
      <c r="O43" s="206"/>
      <c r="P43" s="206"/>
      <c r="Q43" s="206"/>
      <c r="R43" s="206"/>
      <c r="S43" s="206"/>
      <c r="T43" s="206"/>
      <c r="U43" s="206"/>
    </row>
    <row r="44" spans="4:21" ht="15.75" customHeight="1">
      <c r="D44" s="206"/>
      <c r="E44" s="206"/>
      <c r="F44" s="206"/>
      <c r="G44" s="206"/>
      <c r="H44" s="206"/>
      <c r="I44" s="206"/>
      <c r="J44" s="206"/>
      <c r="K44" s="206"/>
      <c r="L44" s="206"/>
      <c r="M44" s="206"/>
      <c r="N44" s="206"/>
      <c r="O44" s="206"/>
      <c r="P44" s="206"/>
      <c r="Q44" s="206"/>
      <c r="R44" s="206"/>
      <c r="S44" s="206"/>
      <c r="T44" s="206"/>
      <c r="U44" s="206"/>
    </row>
    <row r="45" spans="4:21" ht="15.75" customHeight="1">
      <c r="D45" s="206"/>
      <c r="E45" s="206"/>
      <c r="F45" s="206"/>
      <c r="G45" s="206"/>
      <c r="H45" s="206"/>
      <c r="I45" s="206"/>
      <c r="J45" s="206"/>
      <c r="K45" s="206"/>
      <c r="L45" s="206"/>
      <c r="M45" s="206"/>
      <c r="N45" s="206"/>
      <c r="O45" s="206"/>
      <c r="P45" s="206"/>
      <c r="Q45" s="206"/>
      <c r="R45" s="206"/>
      <c r="S45" s="206"/>
      <c r="T45" s="206"/>
      <c r="U45" s="206"/>
    </row>
    <row r="46" spans="4:21" ht="27.75" customHeight="1">
      <c r="D46" s="206"/>
      <c r="E46" s="206"/>
      <c r="F46" s="206"/>
      <c r="G46" s="206"/>
      <c r="H46" s="206"/>
      <c r="I46" s="206"/>
      <c r="J46" s="206"/>
      <c r="K46" s="206"/>
      <c r="L46" s="206"/>
      <c r="M46" s="206"/>
      <c r="N46" s="206"/>
      <c r="O46" s="206"/>
      <c r="P46" s="206"/>
      <c r="Q46" s="206"/>
      <c r="R46" s="206"/>
      <c r="S46" s="206"/>
      <c r="T46" s="206"/>
      <c r="U46" s="206"/>
    </row>
    <row r="47" spans="4:21" ht="29.25" customHeight="1">
      <c r="D47" s="206"/>
      <c r="E47" s="206"/>
      <c r="F47" s="206"/>
      <c r="G47" s="206"/>
      <c r="H47" s="206"/>
      <c r="I47" s="206"/>
      <c r="J47" s="206"/>
      <c r="K47" s="206"/>
      <c r="L47" s="206"/>
      <c r="M47" s="206"/>
      <c r="N47" s="206"/>
      <c r="O47" s="206"/>
      <c r="P47" s="206"/>
      <c r="Q47" s="206"/>
      <c r="R47" s="206"/>
      <c r="S47" s="206"/>
      <c r="T47" s="206"/>
      <c r="U47" s="206"/>
    </row>
    <row r="48" spans="4:21" ht="17.100000000000001" customHeight="1">
      <c r="D48" s="206"/>
      <c r="E48" s="206"/>
      <c r="F48" s="206"/>
      <c r="G48" s="206"/>
      <c r="H48" s="206"/>
      <c r="I48" s="206"/>
      <c r="J48" s="206"/>
      <c r="K48" s="206"/>
      <c r="L48" s="206"/>
      <c r="M48" s="206"/>
      <c r="N48" s="206"/>
      <c r="O48" s="206"/>
      <c r="P48" s="206"/>
      <c r="Q48" s="206"/>
      <c r="R48" s="206"/>
      <c r="S48" s="206"/>
      <c r="T48" s="206"/>
      <c r="U48" s="206"/>
    </row>
    <row r="49" spans="4:21" ht="15.95" customHeight="1">
      <c r="D49" s="206"/>
      <c r="E49" s="206"/>
      <c r="F49" s="206"/>
      <c r="G49" s="206"/>
      <c r="H49" s="206"/>
      <c r="I49" s="206"/>
      <c r="J49" s="206"/>
      <c r="K49" s="206"/>
      <c r="L49" s="206"/>
      <c r="M49" s="206"/>
      <c r="N49" s="206"/>
      <c r="O49" s="206"/>
      <c r="P49" s="206"/>
      <c r="Q49" s="206"/>
      <c r="R49" s="206"/>
      <c r="S49" s="206"/>
      <c r="T49" s="206"/>
      <c r="U49" s="206"/>
    </row>
    <row r="50" spans="4:21" ht="17.100000000000001" customHeight="1">
      <c r="D50" s="206"/>
      <c r="E50" s="206"/>
      <c r="F50" s="206"/>
      <c r="G50" s="206"/>
      <c r="H50" s="206"/>
      <c r="I50" s="206"/>
      <c r="J50" s="206"/>
      <c r="K50" s="206"/>
      <c r="L50" s="206"/>
      <c r="M50" s="206"/>
      <c r="N50" s="206"/>
      <c r="O50" s="206"/>
      <c r="P50" s="206"/>
      <c r="Q50" s="206"/>
      <c r="R50" s="206"/>
      <c r="S50" s="206"/>
      <c r="T50" s="206"/>
      <c r="U50" s="206"/>
    </row>
    <row r="51" spans="4:21" ht="27" customHeight="1"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</row>
    <row r="52" spans="4:21" ht="26.1" customHeight="1">
      <c r="D52" s="206"/>
      <c r="E52" s="206"/>
      <c r="F52" s="206"/>
      <c r="G52" s="206"/>
      <c r="H52" s="206"/>
      <c r="I52" s="206"/>
      <c r="J52" s="206"/>
      <c r="K52" s="206"/>
      <c r="L52" s="206"/>
      <c r="M52" s="206"/>
      <c r="N52" s="206"/>
      <c r="O52" s="206"/>
      <c r="P52" s="206"/>
      <c r="Q52" s="206"/>
      <c r="R52" s="206"/>
      <c r="S52" s="206"/>
      <c r="T52" s="206"/>
      <c r="U52" s="206"/>
    </row>
    <row r="53" spans="4:21" ht="15.95" customHeight="1">
      <c r="D53" s="206"/>
      <c r="E53" s="206"/>
      <c r="F53" s="206"/>
      <c r="G53" s="206"/>
      <c r="H53" s="206"/>
      <c r="I53" s="206"/>
      <c r="J53" s="206"/>
      <c r="K53" s="206"/>
      <c r="L53" s="206"/>
      <c r="M53" s="206"/>
      <c r="N53" s="206"/>
      <c r="O53" s="206"/>
      <c r="P53" s="206"/>
      <c r="Q53" s="206"/>
      <c r="R53" s="206"/>
      <c r="S53" s="206"/>
      <c r="T53" s="206"/>
      <c r="U53" s="206"/>
    </row>
    <row r="54" spans="4:21" ht="6.75" customHeight="1">
      <c r="D54" s="206"/>
      <c r="E54" s="206"/>
      <c r="F54" s="206"/>
    </row>
    <row r="55" spans="4:21" ht="15.95" customHeight="1">
      <c r="G55" s="206"/>
      <c r="H55" s="206"/>
      <c r="I55" s="206"/>
      <c r="J55" s="206"/>
      <c r="K55" s="206"/>
      <c r="L55" s="206"/>
      <c r="M55" s="206"/>
      <c r="N55" s="206"/>
      <c r="O55" s="206"/>
      <c r="P55" s="206"/>
      <c r="Q55" s="206"/>
      <c r="R55" s="206"/>
      <c r="S55" s="206"/>
      <c r="T55" s="206"/>
      <c r="U55" s="206"/>
    </row>
    <row r="56" spans="4:21" ht="15.95" customHeight="1">
      <c r="D56" s="209"/>
      <c r="E56" s="206"/>
      <c r="F56" s="206"/>
      <c r="G56" s="206"/>
      <c r="H56" s="206"/>
      <c r="I56" s="206"/>
      <c r="J56" s="206"/>
      <c r="K56" s="206"/>
      <c r="L56" s="206"/>
      <c r="M56" s="206"/>
      <c r="N56" s="206"/>
      <c r="O56" s="206"/>
      <c r="P56" s="206"/>
      <c r="Q56" s="206"/>
      <c r="R56" s="206"/>
      <c r="S56" s="206"/>
      <c r="T56" s="206"/>
      <c r="U56" s="206"/>
    </row>
    <row r="57" spans="4:21" ht="17.100000000000001" customHeight="1">
      <c r="D57" s="209"/>
      <c r="E57" s="206"/>
      <c r="F57" s="206"/>
      <c r="G57" s="206"/>
      <c r="H57" s="206"/>
      <c r="I57" s="206"/>
      <c r="J57" s="206"/>
      <c r="K57" s="206"/>
      <c r="L57" s="206"/>
      <c r="M57" s="206"/>
      <c r="N57" s="206"/>
      <c r="O57" s="206"/>
      <c r="P57" s="206"/>
      <c r="Q57" s="206"/>
      <c r="R57" s="206"/>
      <c r="S57" s="206"/>
      <c r="T57" s="206"/>
      <c r="U57" s="206"/>
    </row>
    <row r="58" spans="4:21" ht="17.100000000000001" customHeight="1">
      <c r="D58" s="209"/>
      <c r="E58" s="206"/>
      <c r="F58" s="206"/>
      <c r="G58" s="206"/>
      <c r="H58" s="206"/>
      <c r="I58" s="206"/>
      <c r="J58" s="206"/>
      <c r="K58" s="206"/>
      <c r="L58" s="206"/>
      <c r="M58" s="206"/>
      <c r="N58" s="206"/>
      <c r="O58" s="206"/>
      <c r="P58" s="206"/>
      <c r="Q58" s="206"/>
      <c r="R58" s="206"/>
      <c r="S58" s="206"/>
      <c r="T58" s="206"/>
      <c r="U58" s="206"/>
    </row>
    <row r="59" spans="4:21" ht="15.75" customHeight="1">
      <c r="D59" s="206"/>
      <c r="E59" s="206"/>
      <c r="F59" s="206"/>
      <c r="G59" s="206"/>
      <c r="H59" s="206"/>
      <c r="I59" s="206"/>
      <c r="J59" s="206"/>
      <c r="K59" s="206"/>
      <c r="L59" s="206"/>
      <c r="M59" s="206"/>
      <c r="N59" s="206"/>
      <c r="O59" s="206"/>
      <c r="P59" s="206"/>
      <c r="Q59" s="206"/>
      <c r="R59" s="206"/>
      <c r="S59" s="206"/>
      <c r="T59" s="206"/>
      <c r="U59" s="206"/>
    </row>
    <row r="60" spans="4:21" ht="15.75" customHeight="1">
      <c r="D60" s="206"/>
      <c r="E60" s="206"/>
      <c r="F60" s="206"/>
      <c r="G60" s="206"/>
      <c r="H60" s="206"/>
      <c r="I60" s="206"/>
      <c r="J60" s="206"/>
      <c r="K60" s="206"/>
      <c r="L60" s="206"/>
      <c r="M60" s="206"/>
      <c r="N60" s="206"/>
      <c r="O60" s="206"/>
      <c r="P60" s="206"/>
      <c r="Q60" s="206"/>
      <c r="R60" s="206"/>
      <c r="S60" s="206"/>
      <c r="T60" s="206"/>
      <c r="U60" s="206"/>
    </row>
    <row r="61" spans="4:21" ht="15.75" customHeight="1">
      <c r="D61" s="206"/>
      <c r="E61" s="206"/>
      <c r="F61" s="206"/>
      <c r="G61" s="206"/>
      <c r="H61" s="206"/>
      <c r="I61" s="206"/>
      <c r="J61" s="206"/>
      <c r="K61" s="206"/>
      <c r="L61" s="206"/>
      <c r="M61" s="206"/>
      <c r="N61" s="206"/>
      <c r="O61" s="206"/>
      <c r="P61" s="206"/>
      <c r="Q61" s="206"/>
      <c r="R61" s="206"/>
      <c r="S61" s="206"/>
      <c r="T61" s="206"/>
      <c r="U61" s="206"/>
    </row>
    <row r="62" spans="4:21" ht="17.100000000000001" customHeight="1">
      <c r="D62" s="206"/>
      <c r="E62" s="206"/>
      <c r="F62" s="206"/>
      <c r="G62" s="206"/>
      <c r="H62" s="206"/>
      <c r="I62" s="206"/>
      <c r="J62" s="206"/>
      <c r="K62" s="206"/>
      <c r="L62" s="206"/>
      <c r="M62" s="206"/>
      <c r="N62" s="206"/>
      <c r="O62" s="206"/>
      <c r="P62" s="206"/>
      <c r="Q62" s="206"/>
      <c r="R62" s="206"/>
      <c r="S62" s="206"/>
      <c r="T62" s="206"/>
      <c r="U62" s="206"/>
    </row>
    <row r="63" spans="4:21" ht="27" customHeight="1">
      <c r="D63" s="206"/>
      <c r="E63" s="206"/>
      <c r="F63" s="206"/>
      <c r="G63" s="206"/>
      <c r="H63" s="206"/>
      <c r="I63" s="206"/>
      <c r="J63" s="206"/>
      <c r="K63" s="206"/>
      <c r="L63" s="206"/>
      <c r="M63" s="206"/>
      <c r="N63" s="206"/>
      <c r="O63" s="206"/>
      <c r="P63" s="206"/>
      <c r="Q63" s="206"/>
      <c r="R63" s="206"/>
      <c r="S63" s="206"/>
      <c r="T63" s="206"/>
      <c r="U63" s="206"/>
    </row>
    <row r="64" spans="4:21" ht="29.25" customHeight="1">
      <c r="D64" s="206"/>
      <c r="E64" s="206"/>
      <c r="F64" s="206"/>
      <c r="G64" s="206"/>
      <c r="H64" s="206"/>
      <c r="I64" s="206"/>
      <c r="J64" s="206"/>
      <c r="K64" s="206"/>
      <c r="L64" s="206"/>
      <c r="M64" s="206"/>
      <c r="N64" s="206"/>
      <c r="O64" s="206"/>
      <c r="P64" s="206"/>
      <c r="Q64" s="206"/>
      <c r="R64" s="206"/>
      <c r="S64" s="206"/>
      <c r="T64" s="206"/>
      <c r="U64" s="206"/>
    </row>
    <row r="65" spans="4:21" ht="17.100000000000001" customHeight="1">
      <c r="D65" s="206"/>
      <c r="E65" s="206"/>
      <c r="F65" s="206"/>
      <c r="G65" s="206"/>
      <c r="H65" s="206"/>
      <c r="I65" s="206"/>
      <c r="J65" s="206"/>
      <c r="K65" s="206"/>
      <c r="L65" s="206"/>
      <c r="M65" s="206"/>
      <c r="N65" s="206"/>
      <c r="O65" s="206"/>
      <c r="P65" s="206"/>
      <c r="Q65" s="206"/>
      <c r="R65" s="206"/>
      <c r="S65" s="206"/>
      <c r="T65" s="206"/>
      <c r="U65" s="206"/>
    </row>
    <row r="66" spans="4:21" ht="15.95" customHeight="1">
      <c r="D66" s="206"/>
      <c r="E66" s="206"/>
      <c r="F66" s="206"/>
      <c r="G66" s="206"/>
      <c r="H66" s="206"/>
      <c r="I66" s="206"/>
      <c r="J66" s="206"/>
      <c r="K66" s="206"/>
      <c r="L66" s="206"/>
      <c r="M66" s="206"/>
      <c r="N66" s="206"/>
      <c r="O66" s="206"/>
      <c r="P66" s="206"/>
      <c r="Q66" s="206"/>
      <c r="R66" s="206"/>
      <c r="S66" s="206"/>
      <c r="T66" s="206"/>
      <c r="U66" s="206"/>
    </row>
    <row r="67" spans="4:21" ht="17.100000000000001" customHeight="1"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6"/>
      <c r="P67" s="206"/>
      <c r="Q67" s="206"/>
      <c r="R67" s="206"/>
      <c r="S67" s="206"/>
      <c r="T67" s="206"/>
      <c r="U67" s="206"/>
    </row>
    <row r="68" spans="4:21" ht="27" customHeight="1">
      <c r="D68" s="206"/>
      <c r="E68" s="206"/>
      <c r="F68" s="206"/>
      <c r="G68" s="206"/>
      <c r="H68" s="206"/>
      <c r="I68" s="206"/>
      <c r="J68" s="206"/>
      <c r="K68" s="206"/>
      <c r="L68" s="206"/>
      <c r="M68" s="206"/>
      <c r="N68" s="206"/>
      <c r="O68" s="206"/>
      <c r="P68" s="206"/>
      <c r="Q68" s="206"/>
      <c r="R68" s="206"/>
      <c r="S68" s="206"/>
      <c r="T68" s="206"/>
      <c r="U68" s="206"/>
    </row>
    <row r="69" spans="4:21" ht="26.1" customHeight="1">
      <c r="D69" s="206"/>
      <c r="E69" s="206"/>
      <c r="F69" s="206"/>
      <c r="G69" s="206"/>
      <c r="H69" s="206"/>
      <c r="I69" s="206"/>
      <c r="J69" s="206"/>
      <c r="K69" s="206"/>
      <c r="L69" s="206"/>
      <c r="M69" s="206"/>
      <c r="N69" s="206"/>
      <c r="O69" s="206"/>
      <c r="P69" s="206"/>
      <c r="Q69" s="206"/>
      <c r="R69" s="206"/>
      <c r="S69" s="206"/>
      <c r="T69" s="206"/>
      <c r="U69" s="206"/>
    </row>
    <row r="70" spans="4:21" ht="15.95" customHeight="1">
      <c r="D70" s="206"/>
      <c r="E70" s="206"/>
      <c r="F70" s="206"/>
      <c r="G70" s="206"/>
      <c r="H70" s="206"/>
      <c r="I70" s="206"/>
      <c r="J70" s="206"/>
      <c r="K70" s="206"/>
      <c r="L70" s="206"/>
      <c r="M70" s="206"/>
      <c r="N70" s="206"/>
      <c r="O70" s="206"/>
      <c r="P70" s="206"/>
      <c r="Q70" s="206"/>
      <c r="R70" s="206"/>
      <c r="S70" s="206"/>
      <c r="T70" s="206"/>
      <c r="U70" s="206"/>
    </row>
    <row r="71" spans="4:21" ht="6" customHeight="1">
      <c r="D71" s="206"/>
      <c r="E71" s="206"/>
      <c r="F71" s="206"/>
      <c r="G71" s="206"/>
      <c r="H71" s="206"/>
      <c r="I71" s="206"/>
      <c r="J71" s="206"/>
      <c r="K71" s="206"/>
      <c r="L71" s="206"/>
      <c r="M71" s="206"/>
      <c r="N71" s="206"/>
      <c r="O71" s="206"/>
      <c r="P71" s="206"/>
      <c r="Q71" s="206"/>
      <c r="R71" s="206"/>
      <c r="S71" s="206"/>
      <c r="T71" s="206"/>
      <c r="U71" s="206"/>
    </row>
    <row r="72" spans="4:21" ht="15.95" customHeight="1">
      <c r="D72" s="206"/>
      <c r="E72" s="206"/>
      <c r="F72" s="206"/>
      <c r="G72" s="206"/>
      <c r="H72" s="206"/>
      <c r="I72" s="206"/>
      <c r="J72" s="206"/>
      <c r="K72" s="206"/>
      <c r="L72" s="206"/>
      <c r="M72" s="206"/>
      <c r="N72" s="206"/>
      <c r="O72" s="206"/>
      <c r="P72" s="206"/>
      <c r="Q72" s="206"/>
      <c r="R72" s="206"/>
      <c r="S72" s="206"/>
      <c r="T72" s="206"/>
      <c r="U72" s="206"/>
    </row>
    <row r="73" spans="4:21" ht="15.95" customHeight="1">
      <c r="D73" s="209"/>
      <c r="E73" s="206"/>
      <c r="F73" s="206"/>
      <c r="G73" s="206"/>
      <c r="H73" s="206"/>
      <c r="I73" s="206"/>
      <c r="J73" s="206"/>
      <c r="K73" s="206"/>
      <c r="L73" s="206"/>
      <c r="M73" s="206"/>
      <c r="N73" s="206"/>
      <c r="O73" s="206"/>
      <c r="P73" s="206"/>
      <c r="Q73" s="206"/>
      <c r="R73" s="206"/>
      <c r="S73" s="206"/>
      <c r="T73" s="206"/>
      <c r="U73" s="206"/>
    </row>
    <row r="74" spans="4:21" ht="17.100000000000001" customHeight="1">
      <c r="D74" s="209"/>
      <c r="E74" s="206"/>
      <c r="F74" s="206"/>
      <c r="G74" s="206"/>
      <c r="H74" s="206"/>
      <c r="I74" s="206"/>
      <c r="J74" s="206"/>
      <c r="K74" s="206"/>
      <c r="L74" s="206"/>
      <c r="M74" s="206"/>
      <c r="N74" s="206"/>
      <c r="O74" s="206"/>
      <c r="P74" s="206"/>
      <c r="Q74" s="206"/>
      <c r="R74" s="206"/>
      <c r="S74" s="206"/>
      <c r="T74" s="206"/>
      <c r="U74" s="206"/>
    </row>
    <row r="75" spans="4:21" ht="17.100000000000001" customHeight="1">
      <c r="D75" s="209"/>
      <c r="E75" s="206"/>
      <c r="F75" s="206"/>
      <c r="G75" s="206"/>
      <c r="H75" s="206"/>
      <c r="I75" s="206"/>
      <c r="J75" s="206"/>
      <c r="K75" s="206"/>
      <c r="L75" s="206"/>
      <c r="M75" s="206"/>
      <c r="N75" s="206"/>
      <c r="O75" s="206"/>
      <c r="P75" s="206"/>
      <c r="Q75" s="206"/>
      <c r="R75" s="206"/>
      <c r="S75" s="206"/>
      <c r="T75" s="206"/>
      <c r="U75" s="206"/>
    </row>
    <row r="76" spans="4:21" ht="15.75" customHeight="1">
      <c r="D76" s="206"/>
      <c r="E76" s="206"/>
      <c r="F76" s="206"/>
      <c r="G76" s="206"/>
      <c r="H76" s="206"/>
      <c r="I76" s="206"/>
      <c r="J76" s="206"/>
      <c r="K76" s="206"/>
      <c r="L76" s="206"/>
      <c r="M76" s="206"/>
      <c r="N76" s="206"/>
      <c r="O76" s="206"/>
      <c r="P76" s="206"/>
      <c r="Q76" s="206"/>
      <c r="R76" s="206"/>
      <c r="S76" s="206"/>
      <c r="T76" s="206"/>
      <c r="U76" s="206"/>
    </row>
    <row r="77" spans="4:21" ht="15.75" customHeight="1">
      <c r="D77" s="206"/>
      <c r="E77" s="206"/>
      <c r="F77" s="206"/>
      <c r="G77" s="206"/>
      <c r="H77" s="206"/>
      <c r="I77" s="206"/>
      <c r="J77" s="206"/>
      <c r="K77" s="206"/>
      <c r="L77" s="206"/>
      <c r="M77" s="206"/>
      <c r="N77" s="206"/>
      <c r="O77" s="206"/>
      <c r="P77" s="206"/>
      <c r="Q77" s="206"/>
      <c r="R77" s="206"/>
      <c r="S77" s="206"/>
      <c r="T77" s="206"/>
      <c r="U77" s="206"/>
    </row>
    <row r="78" spans="4:21" ht="15.75" customHeight="1">
      <c r="D78" s="206"/>
      <c r="E78" s="206"/>
      <c r="F78" s="206"/>
      <c r="G78" s="206"/>
      <c r="H78" s="206"/>
      <c r="I78" s="206"/>
      <c r="J78" s="206"/>
      <c r="K78" s="206"/>
      <c r="L78" s="206"/>
      <c r="M78" s="206"/>
      <c r="N78" s="206"/>
      <c r="O78" s="206"/>
      <c r="P78" s="206"/>
      <c r="Q78" s="206"/>
      <c r="R78" s="206"/>
      <c r="S78" s="206"/>
      <c r="T78" s="206"/>
      <c r="U78" s="206"/>
    </row>
    <row r="79" spans="4:21" ht="17.100000000000001" customHeight="1">
      <c r="D79" s="206"/>
      <c r="E79" s="206"/>
      <c r="F79" s="206"/>
      <c r="G79" s="206"/>
      <c r="H79" s="206"/>
      <c r="I79" s="206"/>
      <c r="J79" s="206"/>
      <c r="K79" s="206"/>
      <c r="L79" s="206"/>
      <c r="M79" s="206"/>
      <c r="N79" s="206"/>
      <c r="O79" s="206"/>
      <c r="P79" s="206"/>
      <c r="Q79" s="206"/>
      <c r="R79" s="206"/>
      <c r="S79" s="206"/>
      <c r="T79" s="206"/>
      <c r="U79" s="206"/>
    </row>
    <row r="80" spans="4:21" ht="30" customHeight="1">
      <c r="D80" s="206"/>
      <c r="E80" s="206"/>
      <c r="F80" s="206"/>
      <c r="G80" s="206"/>
      <c r="H80" s="206"/>
      <c r="I80" s="206"/>
      <c r="J80" s="206"/>
      <c r="K80" s="206"/>
      <c r="L80" s="206"/>
      <c r="M80" s="206"/>
      <c r="N80" s="206"/>
      <c r="O80" s="206"/>
      <c r="P80" s="206"/>
      <c r="Q80" s="206"/>
      <c r="R80" s="206"/>
      <c r="S80" s="206"/>
      <c r="T80" s="206"/>
      <c r="U80" s="206"/>
    </row>
    <row r="81" spans="4:21" ht="29.25" customHeight="1">
      <c r="D81" s="206"/>
      <c r="E81" s="206"/>
      <c r="F81" s="206"/>
      <c r="G81" s="206"/>
      <c r="H81" s="206"/>
      <c r="I81" s="206"/>
      <c r="J81" s="206"/>
      <c r="K81" s="206"/>
      <c r="L81" s="206"/>
      <c r="M81" s="206"/>
      <c r="N81" s="206"/>
      <c r="O81" s="206"/>
      <c r="P81" s="206"/>
      <c r="Q81" s="206"/>
      <c r="R81" s="206"/>
      <c r="S81" s="206"/>
      <c r="T81" s="206"/>
      <c r="U81" s="206"/>
    </row>
    <row r="82" spans="4:21" ht="17.100000000000001" customHeight="1">
      <c r="D82" s="206"/>
      <c r="E82" s="206"/>
      <c r="F82" s="206"/>
      <c r="G82" s="206"/>
      <c r="H82" s="206"/>
      <c r="I82" s="206"/>
      <c r="J82" s="206"/>
      <c r="K82" s="206"/>
      <c r="L82" s="206"/>
      <c r="M82" s="206"/>
      <c r="N82" s="206"/>
      <c r="O82" s="206"/>
      <c r="P82" s="206"/>
      <c r="Q82" s="206"/>
      <c r="R82" s="206"/>
      <c r="S82" s="206"/>
      <c r="T82" s="206"/>
      <c r="U82" s="206"/>
    </row>
    <row r="83" spans="4:21" ht="15.95" customHeight="1">
      <c r="D83" s="206"/>
      <c r="E83" s="206"/>
      <c r="F83" s="206"/>
      <c r="G83" s="206"/>
      <c r="H83" s="206"/>
      <c r="I83" s="206"/>
      <c r="J83" s="206"/>
      <c r="K83" s="206"/>
      <c r="L83" s="206"/>
      <c r="M83" s="206"/>
      <c r="N83" s="206"/>
      <c r="O83" s="206"/>
      <c r="P83" s="206"/>
      <c r="Q83" s="206"/>
      <c r="R83" s="206"/>
      <c r="S83" s="206"/>
      <c r="T83" s="206"/>
      <c r="U83" s="206"/>
    </row>
    <row r="84" spans="4:21" ht="17.100000000000001" customHeight="1">
      <c r="D84" s="206"/>
      <c r="E84" s="206"/>
      <c r="F84" s="206"/>
      <c r="G84" s="206"/>
      <c r="H84" s="206"/>
      <c r="I84" s="206"/>
      <c r="J84" s="206"/>
      <c r="K84" s="206"/>
      <c r="L84" s="206"/>
      <c r="M84" s="206"/>
      <c r="N84" s="206"/>
      <c r="O84" s="206"/>
      <c r="P84" s="206"/>
      <c r="Q84" s="206"/>
      <c r="R84" s="206"/>
      <c r="S84" s="206"/>
      <c r="T84" s="206"/>
      <c r="U84" s="206"/>
    </row>
    <row r="85" spans="4:21" ht="27" customHeight="1">
      <c r="D85" s="206"/>
      <c r="E85" s="206"/>
      <c r="F85" s="206"/>
      <c r="G85" s="206"/>
      <c r="H85" s="206"/>
      <c r="I85" s="206"/>
      <c r="J85" s="206"/>
      <c r="K85" s="206"/>
      <c r="L85" s="206"/>
      <c r="M85" s="206"/>
      <c r="N85" s="206"/>
      <c r="O85" s="206"/>
      <c r="P85" s="206"/>
      <c r="Q85" s="206"/>
      <c r="R85" s="206"/>
      <c r="S85" s="206"/>
      <c r="T85" s="206"/>
      <c r="U85" s="206"/>
    </row>
    <row r="86" spans="4:21" ht="26.1" customHeight="1">
      <c r="D86" s="206"/>
      <c r="E86" s="206"/>
      <c r="F86" s="206"/>
      <c r="G86" s="206"/>
      <c r="H86" s="206"/>
      <c r="I86" s="206"/>
      <c r="J86" s="206"/>
      <c r="K86" s="206"/>
      <c r="L86" s="206"/>
      <c r="M86" s="206"/>
      <c r="N86" s="206"/>
      <c r="O86" s="206"/>
      <c r="P86" s="206"/>
      <c r="Q86" s="206"/>
      <c r="R86" s="206"/>
      <c r="S86" s="206"/>
      <c r="T86" s="206"/>
      <c r="U86" s="206"/>
    </row>
    <row r="87" spans="4:21" ht="15.95" customHeight="1">
      <c r="D87" s="206"/>
      <c r="E87" s="206"/>
      <c r="F87" s="206"/>
      <c r="G87" s="206"/>
      <c r="H87" s="206"/>
      <c r="I87" s="206"/>
      <c r="J87" s="206"/>
      <c r="K87" s="206"/>
      <c r="L87" s="206"/>
      <c r="M87" s="206"/>
      <c r="N87" s="206"/>
      <c r="O87" s="206"/>
      <c r="P87" s="206"/>
      <c r="Q87" s="206"/>
      <c r="R87" s="206"/>
      <c r="S87" s="206"/>
      <c r="T87" s="206"/>
      <c r="U87" s="206"/>
    </row>
    <row r="88" spans="4:21">
      <c r="D88" s="206"/>
      <c r="E88" s="206"/>
      <c r="F88" s="206"/>
    </row>
    <row r="111" spans="2:5">
      <c r="B111" s="291" t="s">
        <v>339</v>
      </c>
      <c r="C111" s="291"/>
      <c r="E111" s="210" t="s">
        <v>397</v>
      </c>
    </row>
    <row r="112" spans="2:5">
      <c r="B112" s="84" t="s">
        <v>335</v>
      </c>
      <c r="C112" s="84" t="s">
        <v>336</v>
      </c>
      <c r="E112" s="210">
        <f>VLOOKUP(Оценка!C3,B113:C117,2,0)</f>
        <v>0</v>
      </c>
    </row>
    <row r="113" spans="2:5">
      <c r="B113" s="85" t="s">
        <v>330</v>
      </c>
      <c r="C113" s="84">
        <v>0</v>
      </c>
      <c r="E113" s="210">
        <f>VLOOKUP(Оценка!C5,B136:C152,2,0)</f>
        <v>0</v>
      </c>
    </row>
    <row r="114" spans="2:5">
      <c r="B114" s="84" t="s">
        <v>398</v>
      </c>
      <c r="C114" s="84">
        <v>2</v>
      </c>
      <c r="E114" s="210">
        <f>VLOOKUP(Оценка!C6,B120:C125,2,0)</f>
        <v>0</v>
      </c>
    </row>
    <row r="115" spans="2:5">
      <c r="B115" s="84" t="s">
        <v>399</v>
      </c>
      <c r="C115" s="84">
        <v>3</v>
      </c>
      <c r="E115" s="210">
        <f>VLOOKUP(Оценка!C7,B128:C133,2,0)</f>
        <v>0</v>
      </c>
    </row>
    <row r="116" spans="2:5">
      <c r="B116" s="84" t="s">
        <v>400</v>
      </c>
      <c r="C116" s="84">
        <v>5</v>
      </c>
      <c r="E116" s="210">
        <f>E112*(E113+(E114+E115)/2)</f>
        <v>0</v>
      </c>
    </row>
    <row r="117" spans="2:5">
      <c r="B117" s="84" t="s">
        <v>401</v>
      </c>
      <c r="C117" s="84">
        <v>10</v>
      </c>
    </row>
    <row r="118" spans="2:5">
      <c r="B118" s="292" t="s">
        <v>338</v>
      </c>
      <c r="C118" s="292"/>
    </row>
    <row r="119" spans="2:5">
      <c r="B119" s="82" t="s">
        <v>335</v>
      </c>
      <c r="C119" s="82" t="s">
        <v>336</v>
      </c>
    </row>
    <row r="120" spans="2:5">
      <c r="B120" s="83" t="s">
        <v>330</v>
      </c>
      <c r="C120" s="82">
        <v>0</v>
      </c>
    </row>
    <row r="121" spans="2:5">
      <c r="B121" s="82" t="s">
        <v>32</v>
      </c>
      <c r="C121" s="82">
        <v>0</v>
      </c>
    </row>
    <row r="122" spans="2:5">
      <c r="B122" s="82" t="s">
        <v>402</v>
      </c>
      <c r="C122" s="82">
        <v>0.1</v>
      </c>
    </row>
    <row r="123" spans="2:5">
      <c r="B123" s="82" t="s">
        <v>403</v>
      </c>
      <c r="C123" s="82">
        <v>1</v>
      </c>
    </row>
    <row r="124" spans="2:5">
      <c r="B124" s="82" t="s">
        <v>404</v>
      </c>
      <c r="C124" s="82">
        <v>5</v>
      </c>
    </row>
    <row r="125" spans="2:5">
      <c r="B125" s="82" t="s">
        <v>405</v>
      </c>
      <c r="C125" s="82">
        <v>10</v>
      </c>
    </row>
    <row r="126" spans="2:5">
      <c r="B126" s="297" t="s">
        <v>406</v>
      </c>
      <c r="C126" s="297"/>
    </row>
    <row r="127" spans="2:5">
      <c r="B127" s="80" t="s">
        <v>335</v>
      </c>
      <c r="C127" s="80" t="s">
        <v>336</v>
      </c>
    </row>
    <row r="128" spans="2:5">
      <c r="B128" s="81" t="s">
        <v>330</v>
      </c>
      <c r="C128" s="81">
        <v>0</v>
      </c>
    </row>
    <row r="129" spans="2:3">
      <c r="B129" s="80" t="s">
        <v>411</v>
      </c>
      <c r="C129" s="80">
        <v>0</v>
      </c>
    </row>
    <row r="130" spans="2:3">
      <c r="B130" s="80" t="s">
        <v>407</v>
      </c>
      <c r="C130" s="80">
        <v>0.1</v>
      </c>
    </row>
    <row r="131" spans="2:3">
      <c r="B131" s="80" t="s">
        <v>408</v>
      </c>
      <c r="C131" s="80">
        <v>1</v>
      </c>
    </row>
    <row r="132" spans="2:3">
      <c r="B132" s="80" t="s">
        <v>409</v>
      </c>
      <c r="C132" s="80">
        <v>5</v>
      </c>
    </row>
    <row r="133" spans="2:3">
      <c r="B133" s="80" t="s">
        <v>410</v>
      </c>
      <c r="C133" s="80">
        <v>10</v>
      </c>
    </row>
    <row r="134" spans="2:3">
      <c r="B134" s="289" t="s">
        <v>337</v>
      </c>
      <c r="C134" s="289"/>
    </row>
    <row r="135" spans="2:3">
      <c r="B135" s="78" t="s">
        <v>335</v>
      </c>
      <c r="C135" s="78" t="s">
        <v>336</v>
      </c>
    </row>
    <row r="136" spans="2:3">
      <c r="B136" s="79" t="s">
        <v>330</v>
      </c>
      <c r="C136" s="78">
        <v>0</v>
      </c>
    </row>
    <row r="137" spans="2:3">
      <c r="B137" s="78" t="s">
        <v>31</v>
      </c>
      <c r="C137" s="78">
        <v>0.05</v>
      </c>
    </row>
    <row r="138" spans="2:3">
      <c r="B138" s="78" t="s">
        <v>35</v>
      </c>
      <c r="C138" s="78">
        <v>0.06</v>
      </c>
    </row>
    <row r="139" spans="2:3">
      <c r="B139" s="78" t="s">
        <v>37</v>
      </c>
      <c r="C139" s="78">
        <v>7.0000000000000007E-2</v>
      </c>
    </row>
    <row r="140" spans="2:3">
      <c r="B140" s="78" t="s">
        <v>39</v>
      </c>
      <c r="C140" s="78">
        <v>0.09</v>
      </c>
    </row>
    <row r="141" spans="2:3">
      <c r="B141" s="78" t="s">
        <v>42</v>
      </c>
      <c r="C141" s="78">
        <v>0.1</v>
      </c>
    </row>
    <row r="142" spans="2:3">
      <c r="B142" s="78" t="s">
        <v>44</v>
      </c>
      <c r="C142" s="78">
        <v>0.15</v>
      </c>
    </row>
    <row r="143" spans="2:3">
      <c r="B143" s="78" t="s">
        <v>46</v>
      </c>
      <c r="C143" s="78">
        <v>0.17</v>
      </c>
    </row>
    <row r="144" spans="2:3">
      <c r="B144" s="78" t="s">
        <v>48</v>
      </c>
      <c r="C144" s="78">
        <v>0.2</v>
      </c>
    </row>
    <row r="145" spans="2:3">
      <c r="B145" s="78" t="s">
        <v>50</v>
      </c>
      <c r="C145" s="78">
        <v>0.5</v>
      </c>
    </row>
    <row r="146" spans="2:3">
      <c r="B146" s="78" t="s">
        <v>52</v>
      </c>
      <c r="C146" s="78">
        <v>0.6</v>
      </c>
    </row>
    <row r="147" spans="2:3">
      <c r="B147" s="78" t="s">
        <v>54</v>
      </c>
      <c r="C147" s="78">
        <v>0.8</v>
      </c>
    </row>
    <row r="148" spans="2:3">
      <c r="B148" s="78" t="s">
        <v>55</v>
      </c>
      <c r="C148" s="78">
        <v>1</v>
      </c>
    </row>
    <row r="149" spans="2:3">
      <c r="B149" s="78" t="s">
        <v>56</v>
      </c>
      <c r="C149" s="78">
        <v>3</v>
      </c>
    </row>
    <row r="150" spans="2:3">
      <c r="B150" s="78" t="s">
        <v>57</v>
      </c>
      <c r="C150" s="78">
        <v>5</v>
      </c>
    </row>
    <row r="151" spans="2:3">
      <c r="B151" s="78" t="s">
        <v>58</v>
      </c>
      <c r="C151" s="78">
        <v>8</v>
      </c>
    </row>
    <row r="152" spans="2:3">
      <c r="B152" s="78" t="s">
        <v>59</v>
      </c>
      <c r="C152" s="78">
        <v>10</v>
      </c>
    </row>
  </sheetData>
  <sheetProtection formatCells="0" insertRows="0" deleteColumns="0" deleteRows="0"/>
  <dataConsolidate/>
  <mergeCells count="17">
    <mergeCell ref="B2:F2"/>
    <mergeCell ref="B6:F6"/>
    <mergeCell ref="B17:F17"/>
    <mergeCell ref="B23:F23"/>
    <mergeCell ref="C5:F5"/>
    <mergeCell ref="C3:F3"/>
    <mergeCell ref="C4:F4"/>
    <mergeCell ref="B134:C134"/>
    <mergeCell ref="D30:D32"/>
    <mergeCell ref="B111:C111"/>
    <mergeCell ref="B118:C118"/>
    <mergeCell ref="D8:D14"/>
    <mergeCell ref="C21:F21"/>
    <mergeCell ref="C20:F20"/>
    <mergeCell ref="B126:C126"/>
    <mergeCell ref="C19:F19"/>
    <mergeCell ref="C18:F18"/>
  </mergeCells>
  <dataValidations xWindow="1499" yWindow="860" count="2">
    <dataValidation allowBlank="1" showInputMessage="1" showErrorMessage="1" prompt="The worst possible but still most plausible event is to be assumed." sqref="B2" xr:uid="{00000000-0002-0000-0100-000000000000}"/>
    <dataValidation allowBlank="1" showInputMessage="1" showErrorMessage="1" prompt="Инфо: Введите должность и подразделение руководителя(отдела, проекта), который будет отвечать за обработку риска и внедрение контрмер" sqref="C5" xr:uid="{00000000-0002-0000-0100-000001000000}"/>
  </dataValidations>
  <pageMargins left="0.70866141732283472" right="0.70866141732283472" top="0.76388888888888884" bottom="0.74803149606299213" header="0.31496062992125984" footer="0.31496062992125984"/>
  <pageSetup paperSize="9" scale="70" fitToHeight="0" orientation="landscape" r:id="rId1"/>
  <headerFooter alignWithMargins="0">
    <oddHeader>&amp;R&amp;10 &amp;01_x0002__x0002__x0002__x0002__x0002__x0002__x0002_&amp;10&amp;G</oddHeader>
    <oddFooter>Erstellt von Stolar, Natalie Jadwiga (K-FIMI) &amp;D&amp;RKSU: 3.1; Confidential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xWindow="1499" yWindow="860" count="2">
        <x14:dataValidation type="list" allowBlank="1" showInputMessage="1" showErrorMessage="1" xr:uid="{00000000-0002-0000-0100-000003000000}">
          <x14:formula1>
            <xm:f>Оценка!$B$103:$B$107</xm:f>
          </x14:formula1>
          <xm:sqref>C18:C21 F8:F16 C8:C16 F19:F21</xm:sqref>
        </x14:dataValidation>
        <x14:dataValidation type="list" allowBlank="1" showInputMessage="1" showErrorMessage="1" xr:uid="{00000000-0002-0000-0100-000004000000}">
          <x14:formula1>
            <xm:f>Objectives!$E$2:$E$27</xm:f>
          </x14:formula1>
          <xm:sqref>C18:C21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>
    <pageSetUpPr fitToPage="1"/>
  </sheetPr>
  <dimension ref="A1:S139"/>
  <sheetViews>
    <sheetView showGridLines="0" zoomScale="85" zoomScaleNormal="85" workbookViewId="0">
      <selection activeCell="C9" sqref="C9"/>
    </sheetView>
  </sheetViews>
  <sheetFormatPr defaultRowHeight="12.75"/>
  <cols>
    <col min="1" max="1" width="2.83203125" customWidth="1"/>
    <col min="2" max="2" width="54.33203125" bestFit="1" customWidth="1"/>
    <col min="3" max="3" width="144.6640625" customWidth="1"/>
    <col min="4" max="4" width="7.1640625" customWidth="1"/>
    <col min="5" max="5" width="15.5" customWidth="1"/>
  </cols>
  <sheetData>
    <row r="1" spans="2:9" ht="19.5" customHeight="1" thickBot="1">
      <c r="B1" s="88" t="s">
        <v>413</v>
      </c>
      <c r="C1" s="212" t="s">
        <v>514</v>
      </c>
    </row>
    <row r="2" spans="2:9" ht="22.5" customHeight="1" thickBot="1">
      <c r="B2" s="319" t="s">
        <v>561</v>
      </c>
      <c r="C2" s="320"/>
    </row>
    <row r="3" spans="2:9" ht="32.25" customHeight="1" thickTop="1">
      <c r="B3" s="256" t="s">
        <v>540</v>
      </c>
      <c r="C3" s="145" t="s">
        <v>330</v>
      </c>
    </row>
    <row r="4" spans="2:9" ht="24" customHeight="1">
      <c r="B4" s="257" t="s">
        <v>541</v>
      </c>
      <c r="C4" s="146" t="s">
        <v>330</v>
      </c>
    </row>
    <row r="5" spans="2:9" ht="33.75" customHeight="1">
      <c r="B5" s="260" t="s">
        <v>542</v>
      </c>
      <c r="C5" s="284" t="s">
        <v>330</v>
      </c>
    </row>
    <row r="6" spans="2:9" ht="39.75" customHeight="1">
      <c r="B6" s="261" t="s">
        <v>543</v>
      </c>
      <c r="C6" s="146" t="s">
        <v>330</v>
      </c>
    </row>
    <row r="7" spans="2:9" ht="36.75" customHeight="1">
      <c r="B7" s="261" t="s">
        <v>544</v>
      </c>
      <c r="C7" s="146" t="s">
        <v>330</v>
      </c>
      <c r="F7" s="14"/>
      <c r="G7" s="14"/>
      <c r="H7" s="14"/>
      <c r="I7" s="14"/>
    </row>
    <row r="8" spans="2:9" ht="38.25" customHeight="1">
      <c r="B8" s="261" t="s">
        <v>545</v>
      </c>
      <c r="C8" s="147">
        <f>E106</f>
        <v>0</v>
      </c>
    </row>
    <row r="9" spans="2:9" ht="42" customHeight="1" thickBot="1">
      <c r="B9" s="261" t="s">
        <v>546</v>
      </c>
      <c r="C9" s="213"/>
    </row>
    <row r="10" spans="2:9" ht="15.75" hidden="1" customHeight="1" thickBot="1">
      <c r="B10" s="144" t="s">
        <v>424</v>
      </c>
      <c r="C10" s="146"/>
    </row>
    <row r="11" spans="2:9" ht="15.75" hidden="1" customHeight="1" thickBot="1">
      <c r="B11" s="144" t="s">
        <v>238</v>
      </c>
      <c r="C11" s="146"/>
    </row>
    <row r="12" spans="2:9" ht="15.75" hidden="1" customHeight="1" thickBot="1">
      <c r="B12" s="144" t="s">
        <v>414</v>
      </c>
      <c r="C12" s="148"/>
    </row>
    <row r="13" spans="2:9" ht="24" customHeight="1" thickTop="1" thickBot="1">
      <c r="B13" s="317" t="s">
        <v>556</v>
      </c>
      <c r="C13" s="318"/>
    </row>
    <row r="14" spans="2:9" ht="38.25" customHeight="1" thickTop="1" thickBot="1">
      <c r="B14" s="258" t="s">
        <v>547</v>
      </c>
      <c r="C14" s="149" t="s">
        <v>330</v>
      </c>
      <c r="E14" s="237" t="s">
        <v>440</v>
      </c>
      <c r="F14" s="238"/>
      <c r="G14" s="238"/>
      <c r="H14" s="238"/>
      <c r="I14" s="239"/>
    </row>
    <row r="15" spans="2:9" ht="24" customHeight="1" thickBot="1">
      <c r="B15" s="257" t="s">
        <v>562</v>
      </c>
      <c r="C15" s="214"/>
      <c r="E15" s="128" t="s">
        <v>339</v>
      </c>
      <c r="F15" s="129" t="s">
        <v>599</v>
      </c>
      <c r="G15" s="129" t="s">
        <v>598</v>
      </c>
      <c r="H15" s="129" t="s">
        <v>597</v>
      </c>
      <c r="I15" s="129" t="s">
        <v>596</v>
      </c>
    </row>
    <row r="16" spans="2:9" ht="24" customHeight="1" thickBot="1">
      <c r="B16" s="257" t="s">
        <v>548</v>
      </c>
      <c r="C16" s="215"/>
      <c r="E16" s="273" t="s">
        <v>483</v>
      </c>
      <c r="F16" s="142"/>
      <c r="G16" s="142"/>
      <c r="H16" s="142"/>
      <c r="I16" s="142"/>
    </row>
    <row r="17" spans="2:19" ht="24" customHeight="1" thickBot="1">
      <c r="B17" s="257" t="s">
        <v>549</v>
      </c>
      <c r="C17" s="216"/>
      <c r="E17" s="274" t="s">
        <v>450</v>
      </c>
      <c r="F17" s="130">
        <v>4</v>
      </c>
      <c r="G17" s="131">
        <v>5</v>
      </c>
      <c r="H17" s="152">
        <v>6</v>
      </c>
      <c r="I17" s="153">
        <v>7</v>
      </c>
    </row>
    <row r="18" spans="2:19" ht="21.75" customHeight="1" thickBot="1">
      <c r="B18" s="259" t="s">
        <v>550</v>
      </c>
      <c r="C18" s="217"/>
      <c r="E18" s="274" t="s">
        <v>451</v>
      </c>
      <c r="F18" s="132">
        <v>3</v>
      </c>
      <c r="G18" s="133">
        <v>4</v>
      </c>
      <c r="H18" s="133">
        <v>5</v>
      </c>
      <c r="I18" s="154">
        <v>6</v>
      </c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2:19" ht="15.75" thickBot="1">
      <c r="B19" s="119"/>
      <c r="C19" s="120"/>
      <c r="E19" s="274" t="s">
        <v>452</v>
      </c>
      <c r="F19" s="132">
        <v>2</v>
      </c>
      <c r="G19" s="133">
        <v>3</v>
      </c>
      <c r="H19" s="133">
        <v>4</v>
      </c>
      <c r="I19" s="134">
        <v>5</v>
      </c>
    </row>
    <row r="20" spans="2:19" ht="13.5" thickBot="1">
      <c r="E20" s="274" t="s">
        <v>453</v>
      </c>
      <c r="F20" s="135">
        <v>1</v>
      </c>
      <c r="G20" s="136">
        <v>2</v>
      </c>
      <c r="H20" s="136">
        <v>3</v>
      </c>
      <c r="I20" s="137">
        <v>4</v>
      </c>
    </row>
    <row r="98" spans="1:5">
      <c r="A98" s="76" t="s">
        <v>431</v>
      </c>
    </row>
    <row r="99" spans="1:5" hidden="1"/>
    <row r="100" spans="1:5" s="122" customFormat="1" hidden="1"/>
    <row r="101" spans="1:5" s="138" customFormat="1" hidden="1">
      <c r="B101" s="316" t="s">
        <v>339</v>
      </c>
      <c r="C101" s="316"/>
      <c r="E101" s="139" t="s">
        <v>397</v>
      </c>
    </row>
    <row r="102" spans="1:5" s="138" customFormat="1" hidden="1">
      <c r="B102" s="140" t="s">
        <v>335</v>
      </c>
      <c r="C102" s="140" t="s">
        <v>336</v>
      </c>
      <c r="E102" s="139">
        <f>VLOOKUP(Оценка!C3,B103:C107,2,0)</f>
        <v>0</v>
      </c>
    </row>
    <row r="103" spans="1:5" s="138" customFormat="1" hidden="1">
      <c r="B103" s="141" t="s">
        <v>330</v>
      </c>
      <c r="C103" s="140">
        <v>0</v>
      </c>
      <c r="E103" s="139">
        <f>VLOOKUP(Оценка!C5,B126:C136,2,0)</f>
        <v>0</v>
      </c>
    </row>
    <row r="104" spans="1:5" s="138" customFormat="1" hidden="1">
      <c r="B104" s="140" t="s">
        <v>450</v>
      </c>
      <c r="C104" s="140">
        <v>2</v>
      </c>
      <c r="E104" s="139">
        <f>VLOOKUP(Оценка!C6,B110:C115,2,0)</f>
        <v>0</v>
      </c>
    </row>
    <row r="105" spans="1:5" s="138" customFormat="1" hidden="1">
      <c r="B105" s="140" t="s">
        <v>451</v>
      </c>
      <c r="C105" s="140">
        <v>3</v>
      </c>
      <c r="E105" s="139">
        <f>VLOOKUP(Оценка!C7,B118:C123,2,0)</f>
        <v>0</v>
      </c>
    </row>
    <row r="106" spans="1:5" s="138" customFormat="1" hidden="1">
      <c r="B106" s="140" t="s">
        <v>452</v>
      </c>
      <c r="C106" s="140">
        <v>5</v>
      </c>
      <c r="E106" s="139">
        <f>E102*(E103+(E104+E105)/2)</f>
        <v>0</v>
      </c>
    </row>
    <row r="107" spans="1:5" s="138" customFormat="1" hidden="1">
      <c r="B107" s="140" t="s">
        <v>453</v>
      </c>
      <c r="C107" s="140">
        <v>10</v>
      </c>
    </row>
    <row r="108" spans="1:5" s="138" customFormat="1" hidden="1">
      <c r="B108" s="316" t="s">
        <v>338</v>
      </c>
      <c r="C108" s="316"/>
    </row>
    <row r="109" spans="1:5" s="138" customFormat="1" hidden="1">
      <c r="B109" s="140" t="s">
        <v>335</v>
      </c>
      <c r="C109" s="140" t="s">
        <v>336</v>
      </c>
    </row>
    <row r="110" spans="1:5" s="138" customFormat="1" hidden="1">
      <c r="B110" s="141" t="s">
        <v>330</v>
      </c>
      <c r="C110" s="140">
        <v>0</v>
      </c>
    </row>
    <row r="111" spans="1:5" s="138" customFormat="1" hidden="1">
      <c r="B111" s="140" t="s">
        <v>32</v>
      </c>
      <c r="C111" s="140">
        <v>0</v>
      </c>
    </row>
    <row r="112" spans="1:5" s="138" customFormat="1" hidden="1">
      <c r="B112" s="140" t="s">
        <v>402</v>
      </c>
      <c r="C112" s="140">
        <v>0.1</v>
      </c>
    </row>
    <row r="113" spans="2:3" s="138" customFormat="1" hidden="1">
      <c r="B113" s="140" t="s">
        <v>403</v>
      </c>
      <c r="C113" s="140">
        <v>1</v>
      </c>
    </row>
    <row r="114" spans="2:3" s="138" customFormat="1" hidden="1">
      <c r="B114" s="140" t="s">
        <v>404</v>
      </c>
      <c r="C114" s="140">
        <v>5</v>
      </c>
    </row>
    <row r="115" spans="2:3" s="138" customFormat="1" hidden="1">
      <c r="B115" s="140" t="s">
        <v>405</v>
      </c>
      <c r="C115" s="140">
        <v>10</v>
      </c>
    </row>
    <row r="116" spans="2:3" s="138" customFormat="1" hidden="1">
      <c r="B116" s="316" t="s">
        <v>406</v>
      </c>
      <c r="C116" s="316"/>
    </row>
    <row r="117" spans="2:3" s="138" customFormat="1" hidden="1">
      <c r="B117" s="140" t="s">
        <v>335</v>
      </c>
      <c r="C117" s="140" t="s">
        <v>336</v>
      </c>
    </row>
    <row r="118" spans="2:3" s="138" customFormat="1" hidden="1">
      <c r="B118" s="141" t="s">
        <v>330</v>
      </c>
      <c r="C118" s="141">
        <v>0</v>
      </c>
    </row>
    <row r="119" spans="2:3" s="138" customFormat="1" hidden="1">
      <c r="B119" s="140" t="s">
        <v>411</v>
      </c>
      <c r="C119" s="140">
        <v>0</v>
      </c>
    </row>
    <row r="120" spans="2:3" s="138" customFormat="1" hidden="1">
      <c r="B120" s="140" t="s">
        <v>407</v>
      </c>
      <c r="C120" s="140">
        <v>0.1</v>
      </c>
    </row>
    <row r="121" spans="2:3" s="138" customFormat="1" hidden="1">
      <c r="B121" s="140" t="s">
        <v>408</v>
      </c>
      <c r="C121" s="140">
        <v>1</v>
      </c>
    </row>
    <row r="122" spans="2:3" s="138" customFormat="1" hidden="1">
      <c r="B122" s="140" t="s">
        <v>409</v>
      </c>
      <c r="C122" s="140">
        <v>5</v>
      </c>
    </row>
    <row r="123" spans="2:3" s="138" customFormat="1" hidden="1">
      <c r="B123" s="140" t="s">
        <v>410</v>
      </c>
      <c r="C123" s="140">
        <v>10</v>
      </c>
    </row>
    <row r="124" spans="2:3" s="138" customFormat="1" hidden="1">
      <c r="B124" s="316" t="s">
        <v>337</v>
      </c>
      <c r="C124" s="316"/>
    </row>
    <row r="125" spans="2:3" s="138" customFormat="1" hidden="1">
      <c r="B125" s="140" t="s">
        <v>335</v>
      </c>
      <c r="C125" s="140" t="s">
        <v>336</v>
      </c>
    </row>
    <row r="126" spans="2:3" s="138" customFormat="1" hidden="1">
      <c r="B126" s="141" t="s">
        <v>330</v>
      </c>
      <c r="C126" s="140">
        <v>0</v>
      </c>
    </row>
    <row r="127" spans="2:3" s="138" customFormat="1" hidden="1">
      <c r="B127" s="283">
        <v>100000</v>
      </c>
      <c r="C127" s="140">
        <v>0.05</v>
      </c>
    </row>
    <row r="128" spans="2:3" s="138" customFormat="1" hidden="1">
      <c r="B128" s="283">
        <v>250000</v>
      </c>
      <c r="C128" s="140">
        <v>0.08</v>
      </c>
    </row>
    <row r="129" spans="1:3" s="138" customFormat="1" hidden="1">
      <c r="B129" s="283">
        <v>500000</v>
      </c>
      <c r="C129" s="140">
        <v>0.1</v>
      </c>
    </row>
    <row r="130" spans="1:3" s="138" customFormat="1" hidden="1">
      <c r="B130" s="283">
        <v>1000000</v>
      </c>
      <c r="C130" s="140">
        <v>0.5</v>
      </c>
    </row>
    <row r="131" spans="1:3" s="138" customFormat="1" hidden="1">
      <c r="B131" s="283">
        <v>5000000</v>
      </c>
      <c r="C131" s="140">
        <v>0.8</v>
      </c>
    </row>
    <row r="132" spans="1:3" s="138" customFormat="1" hidden="1">
      <c r="B132" s="283">
        <v>10000000</v>
      </c>
      <c r="C132" s="140">
        <v>1</v>
      </c>
    </row>
    <row r="133" spans="1:3" s="138" customFormat="1" hidden="1">
      <c r="B133" s="283">
        <v>25000000</v>
      </c>
      <c r="C133" s="140">
        <v>3</v>
      </c>
    </row>
    <row r="134" spans="1:3" s="138" customFormat="1" hidden="1">
      <c r="B134" s="283">
        <v>50000000</v>
      </c>
      <c r="C134" s="140">
        <v>5</v>
      </c>
    </row>
    <row r="135" spans="1:3" s="138" customFormat="1" hidden="1">
      <c r="B135" s="283">
        <v>100000000</v>
      </c>
      <c r="C135" s="140">
        <v>8</v>
      </c>
    </row>
    <row r="136" spans="1:3" s="138" customFormat="1" hidden="1">
      <c r="B136" s="283">
        <v>250000000</v>
      </c>
      <c r="C136" s="140">
        <v>10</v>
      </c>
    </row>
    <row r="137" spans="1:3" s="138" customFormat="1" hidden="1"/>
    <row r="138" spans="1:3" s="122" customFormat="1"/>
    <row r="139" spans="1:3">
      <c r="A139" s="76" t="s">
        <v>605</v>
      </c>
    </row>
  </sheetData>
  <mergeCells count="6">
    <mergeCell ref="B108:C108"/>
    <mergeCell ref="B116:C116"/>
    <mergeCell ref="B124:C124"/>
    <mergeCell ref="B13:C13"/>
    <mergeCell ref="B2:C2"/>
    <mergeCell ref="B101:C101"/>
  </mergeCells>
  <dataValidations count="8">
    <dataValidation type="list" allowBlank="1" showInputMessage="1" showErrorMessage="1" sqref="C6" xr:uid="{00000000-0002-0000-0200-000004000000}">
      <formula1>$B$110:$B$115</formula1>
    </dataValidation>
    <dataValidation type="list" allowBlank="1" showInputMessage="1" showErrorMessage="1" sqref="C7" xr:uid="{00000000-0002-0000-0200-000005000000}">
      <formula1>$B$118:$B$123</formula1>
    </dataValidation>
    <dataValidation type="list" allowBlank="1" showInputMessage="1" showErrorMessage="1" prompt="Info: влияние текущего риска на доступность информационных ресурсов." sqref="C12" xr:uid="{00000000-0002-0000-0200-000006000000}">
      <formula1>"---,Отсутствует, Низкое, Среднее, Высокое, Очень Высокое"</formula1>
    </dataValidation>
    <dataValidation type="list" allowBlank="1" showInputMessage="1" showErrorMessage="1" prompt="Info: влияние текущего риска на целостность информационных ресурсов." sqref="C11" xr:uid="{00000000-0002-0000-0200-000007000000}">
      <formula1>"---,Отсутствует, Низкое, Среднее, Высокое, Очень Высокое"</formula1>
    </dataValidation>
    <dataValidation type="list" allowBlank="1" showInputMessage="1" showErrorMessage="1" prompt="Info: влияние текущего риска на конфиденциальность информационных ресурсов." sqref="C10" xr:uid="{00000000-0002-0000-0200-000008000000}">
      <formula1>"---,Отсутствует, Низкое, Среднее, Высокое, Очень Высокое"</formula1>
    </dataValidation>
    <dataValidation allowBlank="1" showInputMessage="1" showErrorMessage="1" prompt="Инфо: укажите, из каких предпосылок или расчетов Вы сделали вывод о возникновении риска и ущерба для предприятия._x000a_Вопрос качества: прилагаются ли источники, расчеты или предпосылки, подтверждающие обоснование? Насколько достоверна эта информация?" sqref="C9" xr:uid="{00000000-0002-0000-0200-000009000000}"/>
    <dataValidation type="list" allowBlank="1" showInputMessage="1" showErrorMessage="1" sqref="C3:C4" xr:uid="{00000000-0002-0000-0200-00000A000000}">
      <formula1>$B$103:$B$107</formula1>
    </dataValidation>
    <dataValidation type="list" allowBlank="1" showInputMessage="1" showErrorMessage="1" sqref="C5" xr:uid="{00000000-0002-0000-0200-000003000000}">
      <formula1>$B$126:$B$136</formula1>
    </dataValidation>
  </dataValidations>
  <pageMargins left="0.7" right="0.7" top="0.75" bottom="0.75" header="0.3" footer="0.3"/>
  <pageSetup paperSize="9" scale="41" fitToHeight="0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Info: Какой способ управления риском будет применяться?_x000a_Вопрос качества: можно ли успешно применить выбранный тип управления риском ?" xr:uid="{00000000-0002-0000-0200-00000B000000}">
          <x14:formula1>
            <xm:f>Lists!$V$3:$V$8</xm:f>
          </x14:formula1>
          <xm:sqref>C14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9"/>
  <dimension ref="B1:E67"/>
  <sheetViews>
    <sheetView showGridLines="0" topLeftCell="A31" zoomScale="85" zoomScaleNormal="85" workbookViewId="0">
      <selection activeCell="B67" sqref="B67"/>
    </sheetView>
  </sheetViews>
  <sheetFormatPr defaultRowHeight="12.75"/>
  <cols>
    <col min="1" max="1" width="4.33203125" customWidth="1"/>
    <col min="2" max="2" width="48.5" customWidth="1"/>
    <col min="3" max="3" width="144.6640625" customWidth="1"/>
  </cols>
  <sheetData>
    <row r="1" spans="2:5" ht="15.75" thickBot="1">
      <c r="B1" s="121" t="s">
        <v>595</v>
      </c>
      <c r="C1" s="218"/>
    </row>
    <row r="2" spans="2:5" ht="19.5" thickTop="1" thickBot="1">
      <c r="B2" s="329" t="s">
        <v>422</v>
      </c>
      <c r="C2" s="330"/>
    </row>
    <row r="3" spans="2:5" s="150" customFormat="1" ht="17.25" thickTop="1" thickBot="1">
      <c r="B3" s="327" t="s">
        <v>468</v>
      </c>
      <c r="C3" s="328"/>
    </row>
    <row r="4" spans="2:5" ht="21" customHeight="1">
      <c r="B4" s="262" t="s">
        <v>466</v>
      </c>
      <c r="C4" s="219" t="s">
        <v>509</v>
      </c>
    </row>
    <row r="5" spans="2:5" ht="24.75" customHeight="1" thickBot="1">
      <c r="B5" s="262" t="s">
        <v>467</v>
      </c>
      <c r="C5" s="220"/>
    </row>
    <row r="6" spans="2:5" s="150" customFormat="1" ht="13.5" thickBot="1">
      <c r="B6" s="321" t="s">
        <v>446</v>
      </c>
      <c r="C6" s="322"/>
    </row>
    <row r="7" spans="2:5" ht="27" customHeight="1">
      <c r="B7" s="263" t="s">
        <v>419</v>
      </c>
      <c r="C7" s="219"/>
    </row>
    <row r="8" spans="2:5" ht="24.75" customHeight="1">
      <c r="B8" s="264" t="s">
        <v>527</v>
      </c>
      <c r="C8" s="221"/>
      <c r="E8" s="76"/>
    </row>
    <row r="9" spans="2:5" ht="65.25" customHeight="1">
      <c r="B9" s="264" t="s">
        <v>415</v>
      </c>
      <c r="C9" s="221"/>
      <c r="E9" s="76"/>
    </row>
    <row r="10" spans="2:5" ht="15">
      <c r="B10" s="262" t="s">
        <v>416</v>
      </c>
      <c r="C10" s="221"/>
      <c r="E10" s="76"/>
    </row>
    <row r="11" spans="2:5" ht="15.75">
      <c r="B11" s="264" t="s">
        <v>417</v>
      </c>
      <c r="C11" s="221"/>
      <c r="E11" s="76"/>
    </row>
    <row r="12" spans="2:5" ht="31.5">
      <c r="B12" s="264" t="s">
        <v>421</v>
      </c>
      <c r="C12" s="222"/>
      <c r="E12" s="76"/>
    </row>
    <row r="13" spans="2:5" ht="15.75" thickBot="1">
      <c r="B13" s="266" t="s">
        <v>418</v>
      </c>
      <c r="C13" s="223"/>
      <c r="E13" s="76"/>
    </row>
    <row r="14" spans="2:5" s="150" customFormat="1" ht="13.5" thickBot="1">
      <c r="B14" s="323" t="s">
        <v>469</v>
      </c>
      <c r="C14" s="324"/>
    </row>
    <row r="15" spans="2:5" ht="15">
      <c r="B15" s="267" t="s">
        <v>526</v>
      </c>
      <c r="C15" s="224"/>
      <c r="E15" s="76"/>
    </row>
    <row r="16" spans="2:5" ht="15">
      <c r="B16" s="268" t="s">
        <v>472</v>
      </c>
      <c r="C16" s="224"/>
      <c r="E16" s="76"/>
    </row>
    <row r="17" spans="2:5" ht="15.75" thickBot="1">
      <c r="B17" s="269" t="s">
        <v>471</v>
      </c>
      <c r="C17" s="224"/>
      <c r="E17" s="76"/>
    </row>
    <row r="18" spans="2:5" s="150" customFormat="1">
      <c r="B18" s="325" t="s">
        <v>432</v>
      </c>
      <c r="C18" s="326"/>
    </row>
    <row r="19" spans="2:5" ht="59.25" customHeight="1">
      <c r="B19" s="270" t="s">
        <v>447</v>
      </c>
      <c r="C19" s="225"/>
    </row>
    <row r="20" spans="2:5" ht="48" customHeight="1">
      <c r="B20" s="270" t="s">
        <v>517</v>
      </c>
      <c r="C20" s="225"/>
    </row>
    <row r="21" spans="2:5" ht="15">
      <c r="B21" s="271" t="s">
        <v>519</v>
      </c>
      <c r="C21" s="225"/>
    </row>
    <row r="22" spans="2:5" ht="15">
      <c r="B22" s="271" t="s">
        <v>520</v>
      </c>
      <c r="C22" s="225"/>
    </row>
    <row r="23" spans="2:5" ht="16.5" thickBot="1">
      <c r="B23" s="270" t="s">
        <v>420</v>
      </c>
      <c r="C23" s="226"/>
    </row>
    <row r="24" spans="2:5">
      <c r="B24" s="151"/>
      <c r="C24" s="227"/>
    </row>
    <row r="25" spans="2:5" s="150" customFormat="1" ht="18.75" customHeight="1" thickBot="1">
      <c r="B25" s="327" t="s">
        <v>473</v>
      </c>
      <c r="C25" s="328"/>
    </row>
    <row r="26" spans="2:5" ht="21" customHeight="1">
      <c r="B26" s="262" t="s">
        <v>466</v>
      </c>
      <c r="C26" s="219" t="s">
        <v>509</v>
      </c>
    </row>
    <row r="27" spans="2:5" ht="24.75" customHeight="1" thickBot="1">
      <c r="B27" s="262" t="s">
        <v>467</v>
      </c>
      <c r="C27" s="220"/>
    </row>
    <row r="28" spans="2:5" s="150" customFormat="1" ht="13.5" thickBot="1">
      <c r="B28" s="321" t="s">
        <v>474</v>
      </c>
      <c r="C28" s="322"/>
    </row>
    <row r="29" spans="2:5" ht="27" customHeight="1">
      <c r="B29" s="263" t="s">
        <v>419</v>
      </c>
      <c r="C29" s="219"/>
    </row>
    <row r="30" spans="2:5" ht="24.75" customHeight="1">
      <c r="B30" s="264" t="s">
        <v>527</v>
      </c>
      <c r="C30" s="221"/>
      <c r="E30" s="76"/>
    </row>
    <row r="31" spans="2:5" ht="65.25" customHeight="1">
      <c r="B31" s="264" t="s">
        <v>415</v>
      </c>
      <c r="C31" s="221"/>
      <c r="E31" s="76"/>
    </row>
    <row r="32" spans="2:5" ht="15">
      <c r="B32" s="262" t="s">
        <v>416</v>
      </c>
      <c r="C32" s="221"/>
      <c r="E32" s="76"/>
    </row>
    <row r="33" spans="2:5" ht="15.75">
      <c r="B33" s="264" t="s">
        <v>417</v>
      </c>
      <c r="C33" s="221"/>
      <c r="E33" s="76"/>
    </row>
    <row r="34" spans="2:5" ht="31.5">
      <c r="B34" s="264" t="s">
        <v>421</v>
      </c>
      <c r="C34" s="221"/>
      <c r="E34" s="76"/>
    </row>
    <row r="35" spans="2:5" ht="15.75" thickBot="1">
      <c r="B35" s="266" t="s">
        <v>418</v>
      </c>
      <c r="C35" s="223"/>
      <c r="E35" s="76"/>
    </row>
    <row r="36" spans="2:5" s="150" customFormat="1" ht="13.5" thickBot="1">
      <c r="B36" s="323" t="s">
        <v>475</v>
      </c>
      <c r="C36" s="324"/>
    </row>
    <row r="37" spans="2:5" ht="15">
      <c r="B37" s="267" t="s">
        <v>470</v>
      </c>
      <c r="C37" s="224"/>
      <c r="E37" s="76"/>
    </row>
    <row r="38" spans="2:5" ht="15">
      <c r="B38" s="268" t="s">
        <v>472</v>
      </c>
      <c r="C38" s="224"/>
      <c r="E38" s="76"/>
    </row>
    <row r="39" spans="2:5" ht="15.75" thickBot="1">
      <c r="B39" s="269" t="s">
        <v>471</v>
      </c>
      <c r="C39" s="224"/>
      <c r="E39" s="76"/>
    </row>
    <row r="40" spans="2:5" s="150" customFormat="1">
      <c r="B40" s="325" t="s">
        <v>476</v>
      </c>
      <c r="C40" s="326"/>
    </row>
    <row r="41" spans="2:5" ht="59.25" customHeight="1">
      <c r="B41" s="270" t="s">
        <v>516</v>
      </c>
      <c r="C41" s="225"/>
    </row>
    <row r="42" spans="2:5" ht="48" customHeight="1">
      <c r="B42" s="270" t="s">
        <v>517</v>
      </c>
      <c r="C42" s="225"/>
    </row>
    <row r="43" spans="2:5" ht="15">
      <c r="B43" s="271" t="s">
        <v>521</v>
      </c>
      <c r="C43" s="225"/>
    </row>
    <row r="44" spans="2:5" ht="15">
      <c r="B44" s="271" t="s">
        <v>520</v>
      </c>
      <c r="C44" s="225"/>
    </row>
    <row r="45" spans="2:5" ht="16.5" thickBot="1">
      <c r="B45" s="270" t="s">
        <v>518</v>
      </c>
      <c r="C45" s="226"/>
    </row>
    <row r="46" spans="2:5">
      <c r="B46" s="143"/>
      <c r="C46" s="143"/>
    </row>
    <row r="47" spans="2:5" ht="16.5" thickBot="1">
      <c r="B47" s="327" t="s">
        <v>480</v>
      </c>
      <c r="C47" s="328"/>
    </row>
    <row r="48" spans="2:5" ht="15">
      <c r="B48" s="271" t="s">
        <v>466</v>
      </c>
      <c r="C48" s="219" t="s">
        <v>510</v>
      </c>
    </row>
    <row r="49" spans="2:5" ht="15.75" thickBot="1">
      <c r="B49" s="271" t="s">
        <v>467</v>
      </c>
      <c r="C49" s="220"/>
    </row>
    <row r="50" spans="2:5" ht="13.5" thickBot="1">
      <c r="B50" s="321" t="s">
        <v>477</v>
      </c>
      <c r="C50" s="322"/>
    </row>
    <row r="51" spans="2:5" ht="15.75">
      <c r="B51" s="272" t="s">
        <v>419</v>
      </c>
      <c r="C51" s="219"/>
    </row>
    <row r="52" spans="2:5" ht="15.75">
      <c r="B52" s="265" t="s">
        <v>527</v>
      </c>
      <c r="C52" s="221"/>
    </row>
    <row r="53" spans="2:5" ht="15.75">
      <c r="B53" s="265" t="s">
        <v>415</v>
      </c>
      <c r="C53" s="221"/>
    </row>
    <row r="54" spans="2:5" ht="15">
      <c r="B54" s="262" t="s">
        <v>416</v>
      </c>
      <c r="C54" s="221"/>
    </row>
    <row r="55" spans="2:5" ht="15.75">
      <c r="B55" s="264" t="s">
        <v>417</v>
      </c>
      <c r="C55" s="221"/>
    </row>
    <row r="56" spans="2:5" ht="31.5">
      <c r="B56" s="264" t="s">
        <v>421</v>
      </c>
      <c r="C56" s="222"/>
    </row>
    <row r="57" spans="2:5" ht="15.75" thickBot="1">
      <c r="B57" s="266" t="s">
        <v>418</v>
      </c>
      <c r="C57" s="223"/>
    </row>
    <row r="58" spans="2:5" ht="13.5" thickBot="1">
      <c r="B58" s="323" t="s">
        <v>478</v>
      </c>
      <c r="C58" s="324"/>
    </row>
    <row r="59" spans="2:5" ht="15">
      <c r="B59" s="267" t="s">
        <v>470</v>
      </c>
      <c r="C59" s="224"/>
      <c r="E59" s="76"/>
    </row>
    <row r="60" spans="2:5" ht="15">
      <c r="B60" s="268" t="s">
        <v>472</v>
      </c>
      <c r="C60" s="224"/>
      <c r="E60" s="76"/>
    </row>
    <row r="61" spans="2:5" ht="15.75" thickBot="1">
      <c r="B61" s="269" t="s">
        <v>471</v>
      </c>
      <c r="C61" s="224"/>
      <c r="E61" s="76"/>
    </row>
    <row r="62" spans="2:5">
      <c r="B62" s="325" t="s">
        <v>479</v>
      </c>
      <c r="C62" s="326"/>
    </row>
    <row r="63" spans="2:5" ht="15.75">
      <c r="B63" s="270" t="s">
        <v>516</v>
      </c>
      <c r="C63" s="225"/>
    </row>
    <row r="64" spans="2:5" ht="15.75">
      <c r="B64" s="270" t="s">
        <v>517</v>
      </c>
      <c r="C64" s="225"/>
    </row>
    <row r="65" spans="2:3" ht="15">
      <c r="B65" s="271" t="s">
        <v>515</v>
      </c>
      <c r="C65" s="225"/>
    </row>
    <row r="66" spans="2:3" ht="15">
      <c r="B66" s="271" t="s">
        <v>520</v>
      </c>
      <c r="C66" s="225"/>
    </row>
    <row r="67" spans="2:3" ht="16.5" thickBot="1">
      <c r="B67" s="270" t="s">
        <v>518</v>
      </c>
      <c r="C67" s="226"/>
    </row>
  </sheetData>
  <mergeCells count="13">
    <mergeCell ref="B2:C2"/>
    <mergeCell ref="B18:C18"/>
    <mergeCell ref="B6:C6"/>
    <mergeCell ref="B3:C3"/>
    <mergeCell ref="B14:C14"/>
    <mergeCell ref="B50:C50"/>
    <mergeCell ref="B58:C58"/>
    <mergeCell ref="B62:C62"/>
    <mergeCell ref="B25:C25"/>
    <mergeCell ref="B28:C28"/>
    <mergeCell ref="B36:C36"/>
    <mergeCell ref="B40:C40"/>
    <mergeCell ref="B47:C47"/>
  </mergeCells>
  <dataValidations xWindow="1216" yWindow="690" count="16">
    <dataValidation operator="equal" allowBlank="1" showInputMessage="1" showErrorMessage="1" prompt="Info: [Date] - Last test date (&quot;no date&quot; is also possible)._x000a_Quality: Is the date plausible and not &gt;30 days in relation to the repetition frequency?" sqref="C22 C44 C66" xr:uid="{00000000-0002-0000-0300-000000000000}"/>
    <dataValidation allowBlank="1" showInputMessage="1" showErrorMessage="1" prompt="Инфо: Как часто повторяется тестирование эффективности (&gt; 0; по-умолчанию = 365)._x000a_Качество: Соответствует ли частота проверки требованиям эффективности контрмеры?" sqref="C21 C43 C65" xr:uid="{00000000-0002-0000-0300-000001000000}"/>
    <dataValidation type="list" allowBlank="1" showInputMessage="1" showErrorMessage="1" prompt="Info: The corresponding result of the assessment of effectiveness._x000a_Quality: Is the selected assessment ≠ Fail?" sqref="C23 C45 C67" xr:uid="{00000000-0002-0000-0300-000002000000}">
      <formula1>"---,Успешно осуществлено, Неудачно, Не определено"</formula1>
    </dataValidation>
    <dataValidation type="list" allowBlank="1" showInputMessage="1" showErrorMessage="1" prompt="Инфо: Статус контрмеры в жизненном цикле_x000a_Качество: Правильно ли указан статус?" sqref="C11 C33 C55" xr:uid="{00000000-0002-0000-0300-000003000000}">
      <formula1>"---,исследуется,запланирована,внедряется,внедрена,эффект подтверждён, отклонена,устарела"</formula1>
    </dataValidation>
    <dataValidation allowBlank="1" showInputMessage="1" showErrorMessage="1" prompt="Инфо: Емкое и понятное название контрмеры._x000a_Качество. Является ли название контрмеры понятным для руководства?" sqref="C7 C29 C51" xr:uid="{00000000-0002-0000-0300-000004000000}"/>
    <dataValidation allowBlank="1" showInputMessage="1" showErrorMessage="1" prompt="Информация: Пожалуйста, укажите, кто должен нести ответственность за реализацию контрмер (= уровень руководства)." sqref="C8 C30 C52" xr:uid="{00000000-0002-0000-0300-000005000000}"/>
    <dataValidation allowBlank="1" showInputMessage="1" showErrorMessage="1" prompt="Информация: подробное описание мер противодействия, снижающих риск._x000a_Качество: является ли описание значимым, понятным и конкретным?" sqref="C9 C31 C53" xr:uid="{00000000-0002-0000-0300-000006000000}"/>
    <dataValidation type="list" allowBlank="1" showInputMessage="1" showErrorMessage="1" prompt="Инфо: Как Ваша компания приоритезирует меру." sqref="C10 C32 C54" xr:uid="{00000000-0002-0000-0300-000007000000}">
      <formula1>"---,Высокий, Средний, Низкий"</formula1>
    </dataValidation>
    <dataValidation operator="notBetween" allowBlank="1" showInputMessage="1" showErrorMessage="1" prompt="Инфо: [Дата] - Запланированная дата окончания внедрения контрмеры._x000a_Качество: Соответствует ли выбранная дата статусу внедрения?" sqref="C56:C57 C34:C35 C12:C13" xr:uid="{00000000-0002-0000-0300-000008000000}"/>
    <dataValidation allowBlank="1" showInputMessage="1" showErrorMessage="1" prompt="Please prioritize the countermeasures." sqref="B3:B6 B14 B25:B28 B36 B47:B50 B58" xr:uid="{00000000-0002-0000-0300-000009000000}"/>
    <dataValidation allowBlank="1" showInputMessage="1" showErrorMessage="1" prompt="Информация: описание того, как должен быть проведен тест эффективности контрмеры (например, выполнение теста на уязвимость)._x000a_Качество: соответствет ли тест задаче проверки эффективности, является ли описание ёмким, понятным и конкретным?" sqref="C19 C41 C63" xr:uid="{00000000-0002-0000-0300-00000A000000}"/>
    <dataValidation allowBlank="1" showInputMessage="1" showErrorMessage="1" prompt="Info: Evidence - обычно документ, отчет или протокол._x000a_Quality: является ли уникальным и достверным подтверждением ?" sqref="C20 C42 C64" xr:uid="{00000000-0002-0000-0300-00000B000000}"/>
    <dataValidation allowBlank="1" showInputMessage="1" showErrorMessage="1" prompt="Info: Сколько рабочего времени в человеко\часах займет внедрение контрмеры всеми выделенными специалистами?" sqref="C17 C39 C61" xr:uid="{00000000-0002-0000-0300-00000C000000}"/>
    <dataValidation allowBlank="1" showInputMessage="1" showErrorMessage="1" prompt="Info: Запланирован ли бюджет на внедрение контрмеры? Укажите сумму" sqref="C15 C37 C59" xr:uid="{00000000-0002-0000-0300-00000D000000}"/>
    <dataValidation allowBlank="1" showInputMessage="1" showErrorMessage="1" prompt="Info: Выделены ли специалисты ИТ, которые будут заниматься внедрением контрмеры? Укажите, сколько человек?" sqref="C16 C38 C60" xr:uid="{00000000-0002-0000-0300-00000E000000}"/>
    <dataValidation type="list" allowBlank="1" showInputMessage="1" showErrorMessage="1" prompt="Укажите, на что направлена мера" sqref="C4 C26 C48" xr:uid="{00000000-0002-0000-0300-00000F000000}">
      <formula1>"Reason_Probability,Outcome_Impact"</formula1>
    </dataValidation>
  </dataValidations>
  <pageMargins left="0.7" right="0.7" top="0.75" bottom="0.75" header="0.3" footer="0.3"/>
  <pageSetup paperSize="9" orientation="portrait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1216" yWindow="690" count="1">
        <x14:dataValidation type="list" allowBlank="1" showInputMessage="1" showErrorMessage="1" prompt="Укажите причину или следствие риска, на которое разрабатывается контрмера" xr:uid="{00000000-0002-0000-0300-000010000000}">
          <x14:formula1>
            <xm:f>IF(RIGHT(C4,11)="Probability",Риск!$B$8:$B$15,Риск!$E$8:$E$15)</xm:f>
          </x14:formula1>
          <xm:sqref>C49 C27 C5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>
    <tabColor rgb="FF669900"/>
  </sheetPr>
  <dimension ref="A2:T34"/>
  <sheetViews>
    <sheetView showGridLines="0" zoomScale="85" zoomScaleNormal="85" workbookViewId="0">
      <selection activeCell="H43" sqref="H43"/>
    </sheetView>
  </sheetViews>
  <sheetFormatPr defaultColWidth="12" defaultRowHeight="12.75"/>
  <cols>
    <col min="1" max="1" width="13.33203125" customWidth="1"/>
    <col min="2" max="2" width="12.6640625" customWidth="1"/>
    <col min="3" max="3" width="79.33203125" customWidth="1"/>
    <col min="13" max="13" width="18.6640625" customWidth="1"/>
  </cols>
  <sheetData>
    <row r="2" spans="1:20" ht="104.25" customHeight="1">
      <c r="A2" s="333" t="s">
        <v>465</v>
      </c>
      <c r="B2" s="333"/>
      <c r="C2" s="333"/>
      <c r="D2" s="125"/>
      <c r="E2" s="335" t="s">
        <v>423</v>
      </c>
      <c r="F2" s="335"/>
      <c r="G2" s="335"/>
      <c r="H2" s="335"/>
      <c r="I2" s="335"/>
      <c r="J2" s="335"/>
      <c r="K2" s="335"/>
      <c r="L2" s="335"/>
      <c r="M2" s="335"/>
      <c r="N2" s="331" t="s">
        <v>343</v>
      </c>
      <c r="O2" s="331"/>
      <c r="P2" s="331"/>
      <c r="Q2" s="331"/>
      <c r="R2" s="331"/>
      <c r="S2" s="331"/>
      <c r="T2" s="331"/>
    </row>
    <row r="3" spans="1:20">
      <c r="A3" s="166"/>
      <c r="B3" s="166"/>
      <c r="C3" s="166"/>
      <c r="D3" s="166"/>
      <c r="E3" s="127"/>
      <c r="F3" s="127"/>
      <c r="G3" s="127"/>
      <c r="H3" s="127"/>
      <c r="I3" s="127"/>
      <c r="J3" s="127"/>
      <c r="K3" s="127"/>
      <c r="L3" s="127"/>
      <c r="M3" s="127"/>
      <c r="N3" s="143"/>
      <c r="O3" s="143"/>
      <c r="P3" s="143"/>
      <c r="Q3" s="143"/>
      <c r="R3" s="143"/>
      <c r="S3" s="143"/>
      <c r="T3" s="143"/>
    </row>
    <row r="4" spans="1:20">
      <c r="A4" s="166"/>
      <c r="B4" s="166"/>
      <c r="C4" s="166"/>
      <c r="D4" s="166"/>
      <c r="E4" s="127"/>
      <c r="F4" s="127"/>
      <c r="G4" s="127"/>
      <c r="H4" s="127"/>
      <c r="I4" s="127"/>
      <c r="J4" s="127"/>
      <c r="K4" s="127"/>
      <c r="L4" s="127"/>
      <c r="M4" s="127"/>
      <c r="N4" s="143"/>
      <c r="O4" s="143"/>
      <c r="P4" s="143"/>
      <c r="Q4" s="143"/>
      <c r="R4" s="143"/>
      <c r="S4" s="143"/>
      <c r="T4" s="143"/>
    </row>
    <row r="5" spans="1:20">
      <c r="A5" s="167"/>
      <c r="B5" s="166"/>
      <c r="C5" s="166"/>
      <c r="D5" s="166"/>
      <c r="E5" s="127"/>
      <c r="F5" s="127"/>
      <c r="G5" s="127"/>
      <c r="H5" s="127"/>
      <c r="I5" s="127"/>
      <c r="J5" s="127"/>
      <c r="K5" s="127"/>
      <c r="L5" s="127"/>
      <c r="M5" s="127"/>
      <c r="N5" s="143"/>
      <c r="O5" s="143"/>
      <c r="P5" s="143"/>
      <c r="Q5" s="143"/>
      <c r="R5" s="143"/>
      <c r="S5" s="143"/>
      <c r="T5" s="143"/>
    </row>
    <row r="6" spans="1:20">
      <c r="A6" s="166"/>
      <c r="B6" s="166"/>
      <c r="C6" s="166"/>
      <c r="D6" s="166"/>
      <c r="E6" s="127"/>
      <c r="F6" s="127"/>
      <c r="G6" s="127"/>
      <c r="H6" s="127"/>
      <c r="I6" s="127"/>
      <c r="J6" s="127"/>
      <c r="K6" s="127"/>
      <c r="L6" s="127"/>
      <c r="M6" s="127"/>
      <c r="N6" s="143"/>
      <c r="O6" s="143"/>
      <c r="P6" s="143"/>
      <c r="Q6" s="143"/>
      <c r="R6" s="143"/>
      <c r="S6" s="143"/>
      <c r="T6" s="143"/>
    </row>
    <row r="7" spans="1:20">
      <c r="A7" s="166"/>
      <c r="B7" s="166"/>
      <c r="C7" s="166"/>
      <c r="D7" s="166"/>
      <c r="E7" s="127"/>
      <c r="F7" s="127"/>
      <c r="G7" s="127"/>
      <c r="H7" s="127"/>
      <c r="I7" s="127"/>
      <c r="J7" s="127"/>
      <c r="K7" s="127"/>
      <c r="L7" s="127"/>
      <c r="M7" s="127"/>
      <c r="N7" s="143"/>
      <c r="O7" s="143"/>
      <c r="P7" s="143"/>
      <c r="Q7" s="143"/>
      <c r="R7" s="143"/>
      <c r="S7" s="143"/>
      <c r="T7" s="143"/>
    </row>
    <row r="8" spans="1:20">
      <c r="A8" s="166"/>
      <c r="B8" s="166"/>
      <c r="C8" s="166"/>
      <c r="D8" s="166"/>
      <c r="E8" s="127"/>
      <c r="F8" s="127"/>
      <c r="G8" s="127"/>
      <c r="H8" s="127"/>
      <c r="I8" s="127"/>
      <c r="J8" s="127"/>
      <c r="K8" s="127"/>
      <c r="L8" s="127"/>
      <c r="M8" s="127"/>
      <c r="N8" s="143"/>
      <c r="O8" s="143"/>
      <c r="P8" s="143"/>
      <c r="Q8" s="143"/>
      <c r="R8" s="143"/>
      <c r="S8" s="143"/>
      <c r="T8" s="143"/>
    </row>
    <row r="9" spans="1:20">
      <c r="A9" s="166"/>
      <c r="B9" s="166"/>
      <c r="C9" s="166"/>
      <c r="D9" s="166"/>
      <c r="E9" s="127"/>
      <c r="F9" s="127"/>
      <c r="G9" s="127"/>
      <c r="H9" s="127"/>
      <c r="I9" s="127"/>
      <c r="J9" s="127"/>
      <c r="K9" s="127"/>
      <c r="L9" s="127"/>
      <c r="M9" s="127"/>
      <c r="N9" s="143"/>
      <c r="O9" s="143"/>
      <c r="P9" s="143"/>
      <c r="Q9" s="143"/>
      <c r="R9" s="143"/>
      <c r="S9" s="143"/>
      <c r="T9" s="143"/>
    </row>
    <row r="10" spans="1:20">
      <c r="A10" s="166"/>
      <c r="B10" s="166"/>
      <c r="C10" s="166"/>
      <c r="D10" s="166"/>
      <c r="E10" s="127"/>
      <c r="F10" s="127"/>
      <c r="G10" s="127"/>
      <c r="H10" s="127"/>
      <c r="I10" s="127"/>
      <c r="J10" s="127"/>
      <c r="K10" s="127"/>
      <c r="L10" s="127"/>
      <c r="M10" s="127"/>
      <c r="N10" s="143"/>
      <c r="O10" s="143"/>
      <c r="P10" s="143"/>
      <c r="Q10" s="143"/>
      <c r="R10" s="143"/>
      <c r="S10" s="143"/>
      <c r="T10" s="143"/>
    </row>
    <row r="11" spans="1:20">
      <c r="A11" s="166"/>
      <c r="B11" s="166"/>
      <c r="C11" s="166"/>
      <c r="D11" s="166"/>
      <c r="E11" s="127"/>
      <c r="F11" s="127"/>
      <c r="G11" s="127"/>
      <c r="H11" s="127"/>
      <c r="I11" s="127"/>
      <c r="J11" s="127"/>
      <c r="K11" s="127"/>
      <c r="L11" s="127"/>
      <c r="M11" s="127"/>
      <c r="N11" s="143"/>
      <c r="O11" s="143"/>
      <c r="P11" s="143"/>
      <c r="Q11" s="143"/>
      <c r="R11" s="143"/>
      <c r="S11" s="143"/>
      <c r="T11" s="143"/>
    </row>
    <row r="12" spans="1:20">
      <c r="A12" s="166"/>
      <c r="B12" s="166"/>
      <c r="C12" s="166"/>
      <c r="D12" s="166"/>
      <c r="E12" s="127"/>
      <c r="F12" s="127"/>
      <c r="G12" s="127"/>
      <c r="H12" s="127"/>
      <c r="I12" s="127"/>
      <c r="J12" s="127"/>
      <c r="K12" s="127"/>
      <c r="L12" s="127"/>
      <c r="M12" s="127"/>
      <c r="N12" s="143"/>
      <c r="O12" s="143"/>
      <c r="P12" s="143"/>
      <c r="Q12" s="143"/>
      <c r="R12" s="143"/>
      <c r="S12" s="143"/>
      <c r="T12" s="143"/>
    </row>
    <row r="13" spans="1:20">
      <c r="A13" s="166"/>
      <c r="B13" s="166"/>
      <c r="C13" s="166"/>
      <c r="D13" s="166"/>
      <c r="E13" s="127"/>
      <c r="F13" s="127"/>
      <c r="G13" s="127"/>
      <c r="H13" s="127"/>
      <c r="I13" s="127"/>
      <c r="J13" s="127"/>
      <c r="K13" s="127"/>
      <c r="L13" s="127"/>
      <c r="M13" s="127"/>
      <c r="N13" s="143"/>
      <c r="O13" s="143"/>
      <c r="P13" s="143"/>
      <c r="Q13" s="143"/>
      <c r="R13" s="143"/>
      <c r="S13" s="143"/>
      <c r="T13" s="143"/>
    </row>
    <row r="14" spans="1:20">
      <c r="A14" s="166"/>
      <c r="B14" s="166"/>
      <c r="C14" s="166"/>
      <c r="D14" s="166"/>
      <c r="E14" s="127"/>
      <c r="F14" s="127"/>
      <c r="G14" s="127"/>
      <c r="H14" s="127"/>
      <c r="I14" s="127"/>
      <c r="J14" s="127"/>
      <c r="K14" s="127"/>
      <c r="L14" s="127"/>
      <c r="M14" s="127"/>
      <c r="N14" s="143"/>
      <c r="O14" s="143"/>
      <c r="P14" s="143"/>
      <c r="Q14" s="143"/>
      <c r="R14" s="143"/>
      <c r="S14" s="143"/>
      <c r="T14" s="143"/>
    </row>
    <row r="15" spans="1:20">
      <c r="A15" s="166"/>
      <c r="B15" s="166"/>
      <c r="C15" s="166"/>
      <c r="D15" s="166"/>
      <c r="E15" s="127"/>
      <c r="F15" s="127"/>
      <c r="G15" s="127"/>
      <c r="H15" s="127"/>
      <c r="I15" s="127"/>
      <c r="J15" s="127"/>
      <c r="K15" s="127"/>
      <c r="L15" s="127"/>
      <c r="M15" s="127"/>
      <c r="N15" s="143"/>
      <c r="O15" s="143"/>
      <c r="P15" s="143"/>
      <c r="Q15" s="143"/>
      <c r="R15" s="143"/>
      <c r="S15" s="143"/>
      <c r="T15" s="143"/>
    </row>
    <row r="16" spans="1:20">
      <c r="A16" s="166"/>
      <c r="B16" s="166"/>
      <c r="C16" s="166"/>
      <c r="D16" s="166"/>
      <c r="E16" s="127"/>
      <c r="F16" s="127"/>
      <c r="G16" s="127"/>
      <c r="H16" s="127"/>
      <c r="I16" s="127"/>
      <c r="J16" s="127"/>
      <c r="K16" s="127"/>
      <c r="L16" s="127"/>
      <c r="M16" s="127"/>
      <c r="N16" s="143"/>
      <c r="O16" s="143"/>
      <c r="P16" s="143"/>
      <c r="Q16" s="143"/>
      <c r="R16" s="143"/>
      <c r="S16" s="143"/>
      <c r="T16" s="143"/>
    </row>
    <row r="17" spans="1:20">
      <c r="A17" s="166"/>
      <c r="B17" s="166"/>
      <c r="C17" s="166"/>
      <c r="D17" s="166"/>
      <c r="E17" s="127"/>
      <c r="F17" s="127"/>
      <c r="G17" s="127"/>
      <c r="H17" s="127"/>
      <c r="I17" s="127"/>
      <c r="J17" s="127"/>
      <c r="K17" s="127"/>
      <c r="L17" s="127"/>
      <c r="M17" s="127"/>
      <c r="N17" s="143"/>
      <c r="O17" s="143"/>
      <c r="P17" s="143"/>
      <c r="Q17" s="143"/>
      <c r="R17" s="143"/>
      <c r="S17" s="143"/>
      <c r="T17" s="143"/>
    </row>
    <row r="18" spans="1:20">
      <c r="A18" s="166"/>
      <c r="B18" s="166"/>
      <c r="C18" s="166"/>
      <c r="D18" s="166"/>
      <c r="E18" s="127"/>
      <c r="F18" s="127"/>
      <c r="G18" s="127"/>
      <c r="H18" s="127"/>
      <c r="I18" s="127"/>
      <c r="J18" s="127"/>
      <c r="K18" s="127"/>
      <c r="L18" s="127"/>
      <c r="M18" s="127"/>
      <c r="N18" s="143"/>
      <c r="O18" s="143"/>
      <c r="P18" s="143"/>
      <c r="Q18" s="143"/>
      <c r="R18" s="143"/>
      <c r="S18" s="143"/>
      <c r="T18" s="143"/>
    </row>
    <row r="19" spans="1:20">
      <c r="A19" s="166"/>
      <c r="B19" s="166"/>
      <c r="C19" s="166"/>
      <c r="D19" s="166"/>
      <c r="E19" s="127"/>
      <c r="F19" s="127"/>
      <c r="G19" s="127"/>
      <c r="H19" s="127"/>
      <c r="I19" s="127"/>
      <c r="J19" s="127"/>
      <c r="K19" s="127"/>
      <c r="L19" s="127"/>
      <c r="M19" s="127"/>
      <c r="N19" s="143"/>
      <c r="O19" s="143"/>
      <c r="P19" s="143"/>
      <c r="Q19" s="143"/>
      <c r="R19" s="143"/>
      <c r="S19" s="143"/>
      <c r="T19" s="143"/>
    </row>
    <row r="20" spans="1:20">
      <c r="A20" s="166"/>
      <c r="B20" s="166"/>
      <c r="C20" s="166"/>
      <c r="D20" s="166"/>
      <c r="E20" s="127"/>
      <c r="F20" s="127"/>
      <c r="G20" s="127"/>
      <c r="H20" s="127"/>
      <c r="I20" s="127"/>
      <c r="J20" s="127"/>
      <c r="K20" s="127"/>
      <c r="L20" s="127"/>
      <c r="M20" s="127"/>
      <c r="N20" s="143"/>
      <c r="O20" s="143"/>
      <c r="P20" s="143"/>
      <c r="Q20" s="143"/>
      <c r="R20" s="143"/>
      <c r="S20" s="143"/>
      <c r="T20" s="143"/>
    </row>
    <row r="21" spans="1:20">
      <c r="A21" s="166"/>
      <c r="B21" s="166"/>
      <c r="C21" s="166"/>
      <c r="D21" s="166"/>
      <c r="E21" s="127"/>
      <c r="F21" s="127"/>
      <c r="G21" s="127"/>
      <c r="H21" s="127"/>
      <c r="I21" s="127"/>
      <c r="J21" s="127"/>
      <c r="K21" s="127"/>
      <c r="L21" s="127"/>
      <c r="M21" s="127"/>
      <c r="N21" s="143"/>
      <c r="O21" s="143"/>
      <c r="P21" s="143"/>
      <c r="Q21" s="143"/>
      <c r="R21" s="143"/>
      <c r="S21" s="143"/>
      <c r="T21" s="143"/>
    </row>
    <row r="22" spans="1:20">
      <c r="A22" s="166"/>
      <c r="B22" s="166"/>
      <c r="C22" s="166"/>
      <c r="D22" s="166"/>
      <c r="E22" s="127"/>
      <c r="F22" s="127"/>
      <c r="G22" s="127"/>
      <c r="H22" s="127"/>
      <c r="I22" s="127"/>
      <c r="J22" s="127"/>
      <c r="K22" s="127"/>
      <c r="L22" s="127"/>
      <c r="M22" s="127"/>
      <c r="N22" s="143"/>
      <c r="O22" s="143"/>
      <c r="P22" s="143"/>
      <c r="Q22" s="143"/>
      <c r="R22" s="143"/>
      <c r="S22" s="143"/>
      <c r="T22" s="143"/>
    </row>
    <row r="23" spans="1:20">
      <c r="A23" s="166"/>
      <c r="B23" s="166"/>
      <c r="C23" s="166"/>
      <c r="D23" s="166"/>
      <c r="E23" s="127"/>
      <c r="F23" s="127"/>
      <c r="G23" s="127"/>
      <c r="H23" s="127"/>
      <c r="I23" s="127"/>
      <c r="J23" s="127"/>
      <c r="K23" s="127"/>
      <c r="L23" s="127"/>
      <c r="M23" s="127"/>
      <c r="N23" s="143"/>
      <c r="O23" s="143"/>
      <c r="P23" s="143"/>
      <c r="Q23" s="143"/>
      <c r="R23" s="143"/>
      <c r="S23" s="143"/>
      <c r="T23" s="143"/>
    </row>
    <row r="24" spans="1:20">
      <c r="A24" s="166"/>
      <c r="B24" s="166"/>
      <c r="C24" s="166"/>
      <c r="D24" s="166"/>
      <c r="E24" s="127"/>
      <c r="F24" s="127"/>
      <c r="G24" s="127"/>
      <c r="H24" s="127"/>
      <c r="I24" s="127"/>
      <c r="J24" s="127"/>
      <c r="K24" s="127"/>
      <c r="L24" s="127"/>
      <c r="M24" s="127"/>
      <c r="N24" s="143"/>
      <c r="O24" s="143"/>
      <c r="P24" s="143"/>
      <c r="Q24" s="143"/>
      <c r="R24" s="143"/>
      <c r="S24" s="143"/>
      <c r="T24" s="143"/>
    </row>
    <row r="25" spans="1:20">
      <c r="A25" s="166"/>
      <c r="B25" s="166"/>
      <c r="C25" s="166"/>
      <c r="D25" s="166"/>
      <c r="E25" s="127"/>
      <c r="F25" s="127"/>
      <c r="G25" s="127"/>
      <c r="H25" s="127"/>
      <c r="I25" s="127"/>
      <c r="J25" s="127"/>
      <c r="K25" s="127"/>
      <c r="L25" s="127"/>
      <c r="M25" s="127"/>
      <c r="N25" s="143"/>
      <c r="O25" s="143"/>
      <c r="P25" s="143"/>
      <c r="Q25" s="143"/>
      <c r="R25" s="143"/>
      <c r="S25" s="143"/>
      <c r="T25" s="143"/>
    </row>
    <row r="26" spans="1:20">
      <c r="A26" s="166"/>
      <c r="B26" s="166"/>
      <c r="C26" s="166"/>
      <c r="D26" s="166"/>
      <c r="E26" s="127"/>
      <c r="F26" s="127"/>
      <c r="G26" s="127"/>
      <c r="H26" s="127"/>
      <c r="I26" s="127"/>
      <c r="J26" s="127"/>
      <c r="K26" s="127"/>
      <c r="L26" s="127"/>
      <c r="M26" s="127"/>
      <c r="N26" s="143"/>
      <c r="O26" s="143"/>
      <c r="P26" s="143"/>
      <c r="Q26" s="143"/>
      <c r="R26" s="143"/>
      <c r="S26" s="143"/>
      <c r="T26" s="143"/>
    </row>
    <row r="27" spans="1:20" ht="45" customHeight="1">
      <c r="A27" s="336" t="s">
        <v>442</v>
      </c>
      <c r="B27" s="336"/>
      <c r="C27" s="336"/>
      <c r="D27" s="126"/>
      <c r="E27" s="126"/>
      <c r="F27" s="126"/>
      <c r="G27" s="126"/>
      <c r="H27" s="126"/>
      <c r="I27" s="126"/>
      <c r="J27" s="126"/>
      <c r="K27" s="126"/>
      <c r="L27" s="126"/>
      <c r="M27" s="126"/>
    </row>
    <row r="28" spans="1:20" ht="119.25" customHeight="1">
      <c r="A28" s="334"/>
      <c r="B28" s="334"/>
      <c r="C28" s="334"/>
      <c r="D28" s="334"/>
      <c r="E28" s="334"/>
      <c r="F28" s="334"/>
      <c r="G28" s="334"/>
      <c r="H28" s="126"/>
      <c r="I28" s="126"/>
      <c r="J28" s="126"/>
      <c r="K28" s="126"/>
      <c r="L28" s="126"/>
      <c r="M28" s="126"/>
    </row>
    <row r="29" spans="1:20">
      <c r="A29" s="126"/>
      <c r="B29" s="126"/>
      <c r="C29" s="126"/>
      <c r="D29" s="126"/>
      <c r="E29" s="126"/>
      <c r="F29" s="126"/>
      <c r="G29" s="126"/>
      <c r="H29" s="126"/>
      <c r="I29" s="126"/>
      <c r="J29" s="126"/>
      <c r="K29" s="126"/>
      <c r="L29" s="126"/>
      <c r="M29" s="126"/>
    </row>
    <row r="30" spans="1:20">
      <c r="A30" s="126"/>
      <c r="B30" s="126"/>
      <c r="C30" s="126"/>
      <c r="D30" s="126"/>
      <c r="E30" s="126"/>
      <c r="F30" s="126"/>
      <c r="G30" s="126"/>
      <c r="H30" s="126"/>
      <c r="I30" s="126"/>
      <c r="J30" s="126"/>
      <c r="K30" s="126"/>
      <c r="L30" s="126"/>
      <c r="M30" s="126"/>
    </row>
    <row r="31" spans="1:20">
      <c r="A31" s="126"/>
      <c r="B31" s="126"/>
      <c r="C31" s="126"/>
      <c r="D31" s="126"/>
      <c r="E31" s="126"/>
      <c r="F31" s="126"/>
      <c r="G31" s="126"/>
      <c r="H31" s="126"/>
      <c r="I31" s="126"/>
      <c r="J31" s="126"/>
      <c r="K31" s="126"/>
      <c r="L31" s="126"/>
      <c r="M31" s="126"/>
    </row>
    <row r="32" spans="1:20">
      <c r="A32" s="126"/>
      <c r="B32" s="126"/>
      <c r="C32" s="126"/>
      <c r="D32" s="126"/>
      <c r="E32" s="126"/>
      <c r="F32" s="126"/>
      <c r="G32" s="126"/>
      <c r="H32" s="126"/>
      <c r="I32" s="126"/>
      <c r="J32" s="126"/>
      <c r="K32" s="126"/>
      <c r="L32" s="126"/>
      <c r="M32" s="126"/>
    </row>
    <row r="33" spans="1:13" ht="104.25" customHeight="1">
      <c r="A33" s="236"/>
      <c r="B33" s="236"/>
      <c r="C33" s="236"/>
      <c r="D33" s="236"/>
      <c r="E33" s="236"/>
      <c r="F33" s="236"/>
      <c r="G33" s="236"/>
      <c r="H33" s="236"/>
      <c r="I33" s="332" t="s">
        <v>525</v>
      </c>
      <c r="J33" s="332"/>
      <c r="K33" s="332"/>
      <c r="L33" s="332"/>
      <c r="M33" s="332"/>
    </row>
    <row r="34" spans="1:13" ht="25.5" customHeight="1">
      <c r="A34" s="236"/>
      <c r="B34" s="236"/>
      <c r="C34" s="236"/>
      <c r="D34" s="236"/>
      <c r="E34" s="236"/>
      <c r="F34" s="236"/>
      <c r="G34" s="236"/>
      <c r="H34" s="236"/>
      <c r="I34" s="236"/>
      <c r="J34" s="236"/>
      <c r="K34" s="236"/>
      <c r="L34" s="236"/>
      <c r="M34" s="236"/>
    </row>
  </sheetData>
  <mergeCells count="6">
    <mergeCell ref="N2:T2"/>
    <mergeCell ref="I33:M33"/>
    <mergeCell ref="A2:C2"/>
    <mergeCell ref="A28:G28"/>
    <mergeCell ref="E2:M2"/>
    <mergeCell ref="A27:C27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1"/>
  <dimension ref="A2:X23"/>
  <sheetViews>
    <sheetView topLeftCell="A6" zoomScale="115" zoomScaleNormal="115" workbookViewId="0">
      <selection activeCell="B13" sqref="B13"/>
    </sheetView>
  </sheetViews>
  <sheetFormatPr defaultColWidth="9.33203125" defaultRowHeight="12.75"/>
  <cols>
    <col min="1" max="1" width="5.1640625" style="14" bestFit="1" customWidth="1"/>
    <col min="2" max="2" width="140.83203125" style="14" customWidth="1"/>
    <col min="3" max="3" width="20.33203125" style="14" customWidth="1"/>
    <col min="4" max="4" width="13.6640625" style="14" bestFit="1" customWidth="1"/>
    <col min="5" max="5" width="13.6640625" style="14" customWidth="1"/>
    <col min="6" max="6" width="20.6640625" style="14" bestFit="1" customWidth="1"/>
    <col min="7" max="7" width="13.6640625" style="14" bestFit="1" customWidth="1"/>
    <col min="8" max="8" width="7.33203125" style="14" bestFit="1" customWidth="1"/>
    <col min="9" max="9" width="13.33203125" style="14" customWidth="1"/>
    <col min="10" max="16384" width="9.33203125" style="14"/>
  </cols>
  <sheetData>
    <row r="2" spans="1:24" customFormat="1" ht="29.25" customHeight="1" thickBot="1">
      <c r="B2" s="89" t="s">
        <v>368</v>
      </c>
      <c r="C2" s="89"/>
      <c r="D2" s="89"/>
      <c r="E2" s="89"/>
      <c r="F2" s="89"/>
      <c r="G2" s="89"/>
      <c r="H2" s="89"/>
      <c r="I2" s="89"/>
      <c r="J2" s="1"/>
      <c r="K2" s="1"/>
      <c r="L2" s="1"/>
      <c r="M2" s="1"/>
      <c r="N2" s="1"/>
    </row>
    <row r="3" spans="1:24" customFormat="1" ht="29.25" hidden="1" customHeight="1">
      <c r="B3" s="11" t="s">
        <v>24</v>
      </c>
      <c r="C3" s="12"/>
      <c r="D3" s="4"/>
      <c r="E3" s="4"/>
      <c r="F3" s="4"/>
      <c r="G3" s="4"/>
      <c r="H3" s="4"/>
      <c r="I3" s="4"/>
      <c r="J3" s="4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customFormat="1" ht="29.25" hidden="1" customHeight="1">
      <c r="B4" s="11" t="s">
        <v>25</v>
      </c>
      <c r="C4" s="13"/>
      <c r="D4" s="4"/>
      <c r="E4" s="4"/>
      <c r="F4" s="4"/>
      <c r="G4" s="4"/>
      <c r="H4" s="4"/>
      <c r="I4" s="4"/>
      <c r="J4" s="4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customFormat="1" ht="29.25" hidden="1" customHeight="1" thickBot="1">
      <c r="B5" s="91" t="s">
        <v>26</v>
      </c>
      <c r="C5" s="92"/>
      <c r="D5" s="4"/>
      <c r="E5" s="4"/>
      <c r="F5" s="4"/>
      <c r="G5" s="4"/>
      <c r="H5" s="4"/>
      <c r="I5" s="4"/>
      <c r="J5" s="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customFormat="1" ht="13.5" thickTop="1">
      <c r="B6" s="93"/>
      <c r="C6" s="94"/>
      <c r="D6" s="95"/>
      <c r="E6" s="95"/>
      <c r="F6" s="95"/>
      <c r="G6" s="95"/>
      <c r="H6" s="95"/>
      <c r="I6" s="95"/>
      <c r="J6" s="3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customFormat="1" ht="175.5" customHeight="1">
      <c r="B7" s="123" t="s">
        <v>551</v>
      </c>
      <c r="C7" s="124"/>
      <c r="D7" s="124"/>
      <c r="E7" s="124"/>
      <c r="F7" s="124"/>
      <c r="G7" s="124"/>
      <c r="H7" s="124"/>
      <c r="I7" s="124"/>
      <c r="J7" s="1"/>
      <c r="K7" s="1"/>
      <c r="L7" s="1"/>
      <c r="M7" s="1"/>
      <c r="N7" s="1"/>
    </row>
    <row r="8" spans="1:24" customFormat="1" ht="12" customHeight="1" thickBot="1">
      <c r="B8" s="96"/>
      <c r="C8" s="96"/>
      <c r="D8" s="90"/>
      <c r="E8" s="90"/>
      <c r="F8" s="90"/>
      <c r="G8" s="90"/>
      <c r="H8" s="90"/>
      <c r="I8" s="90"/>
      <c r="J8" s="2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customFormat="1" ht="33" customHeight="1" thickBot="1">
      <c r="A9" s="179"/>
      <c r="B9" s="180" t="s">
        <v>369</v>
      </c>
      <c r="C9" s="181" t="s">
        <v>444</v>
      </c>
      <c r="D9" s="182" t="s">
        <v>361</v>
      </c>
      <c r="E9" s="182" t="s">
        <v>364</v>
      </c>
      <c r="F9" s="182" t="s">
        <v>362</v>
      </c>
      <c r="G9" s="182" t="s">
        <v>363</v>
      </c>
      <c r="H9" s="183" t="s">
        <v>357</v>
      </c>
      <c r="I9" s="184" t="s">
        <v>448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customFormat="1" ht="33" customHeight="1" thickBot="1">
      <c r="A10" s="172"/>
      <c r="B10" s="173" t="s">
        <v>552</v>
      </c>
      <c r="C10" s="174"/>
      <c r="D10" s="175"/>
      <c r="E10" s="175"/>
      <c r="F10" s="176" t="s">
        <v>358</v>
      </c>
      <c r="G10" s="176" t="s">
        <v>358</v>
      </c>
      <c r="H10" s="177"/>
      <c r="I10" s="178"/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ht="30">
      <c r="A11" s="102" t="s">
        <v>331</v>
      </c>
      <c r="B11" s="103" t="s">
        <v>443</v>
      </c>
      <c r="C11" s="99" t="s">
        <v>358</v>
      </c>
      <c r="D11" s="99"/>
      <c r="E11" s="99"/>
      <c r="F11" s="99"/>
      <c r="G11" s="99"/>
      <c r="H11" s="99"/>
      <c r="I11" s="105"/>
    </row>
    <row r="12" spans="1:24" ht="15">
      <c r="A12" s="104" t="s">
        <v>332</v>
      </c>
      <c r="B12" s="98" t="s">
        <v>462</v>
      </c>
      <c r="C12" s="99" t="s">
        <v>358</v>
      </c>
      <c r="D12" s="99"/>
      <c r="E12" s="99"/>
      <c r="F12" s="99"/>
      <c r="G12" s="99"/>
      <c r="H12" s="99"/>
      <c r="I12" s="105"/>
    </row>
    <row r="13" spans="1:24" ht="15">
      <c r="A13" s="104" t="s">
        <v>333</v>
      </c>
      <c r="B13" s="98" t="s">
        <v>367</v>
      </c>
      <c r="C13" s="99" t="s">
        <v>358</v>
      </c>
      <c r="D13" s="99"/>
      <c r="E13" s="99"/>
      <c r="F13" s="99"/>
      <c r="G13" s="99"/>
      <c r="H13" s="99"/>
      <c r="I13" s="105"/>
    </row>
    <row r="14" spans="1:24" ht="15">
      <c r="A14" s="104"/>
      <c r="B14" s="100" t="s">
        <v>352</v>
      </c>
      <c r="C14" s="99" t="s">
        <v>358</v>
      </c>
      <c r="D14" s="99"/>
      <c r="E14" s="99"/>
      <c r="F14" s="99"/>
      <c r="G14" s="99"/>
      <c r="H14" s="99"/>
      <c r="I14" s="105"/>
    </row>
    <row r="15" spans="1:24" ht="15">
      <c r="A15" s="104" t="s">
        <v>334</v>
      </c>
      <c r="B15" s="98" t="s">
        <v>455</v>
      </c>
      <c r="C15" s="99" t="s">
        <v>358</v>
      </c>
      <c r="D15" s="99"/>
      <c r="E15" s="99"/>
      <c r="F15" s="99" t="s">
        <v>358</v>
      </c>
      <c r="G15" s="99"/>
      <c r="H15" s="99"/>
      <c r="I15" s="105"/>
    </row>
    <row r="16" spans="1:24" ht="15">
      <c r="A16" s="104" t="s">
        <v>353</v>
      </c>
      <c r="B16" s="98" t="s">
        <v>456</v>
      </c>
      <c r="C16" s="99"/>
      <c r="D16" s="99" t="s">
        <v>358</v>
      </c>
      <c r="E16" s="99"/>
      <c r="F16" s="99"/>
      <c r="G16" s="99"/>
      <c r="H16" s="99"/>
      <c r="I16" s="105"/>
    </row>
    <row r="17" spans="1:9" ht="15">
      <c r="A17" s="104" t="s">
        <v>354</v>
      </c>
      <c r="B17" s="98" t="s">
        <v>441</v>
      </c>
      <c r="C17" s="99"/>
      <c r="D17" s="99" t="s">
        <v>358</v>
      </c>
      <c r="E17" s="99"/>
      <c r="F17" s="99"/>
      <c r="G17" s="99"/>
      <c r="H17" s="99"/>
      <c r="I17" s="105"/>
    </row>
    <row r="18" spans="1:9" ht="30">
      <c r="A18" s="104" t="s">
        <v>356</v>
      </c>
      <c r="B18" s="98" t="s">
        <v>355</v>
      </c>
      <c r="C18" s="99"/>
      <c r="D18" s="99" t="s">
        <v>358</v>
      </c>
      <c r="E18" s="99"/>
      <c r="F18" s="99"/>
      <c r="G18" s="99"/>
      <c r="H18" s="99"/>
      <c r="I18" s="105"/>
    </row>
    <row r="19" spans="1:9" ht="15">
      <c r="A19" s="104"/>
      <c r="B19" s="118" t="s">
        <v>352</v>
      </c>
      <c r="C19" s="99"/>
      <c r="D19" s="99"/>
      <c r="E19" s="99"/>
      <c r="F19" s="99"/>
      <c r="G19" s="99"/>
      <c r="H19" s="99"/>
      <c r="I19" s="105"/>
    </row>
    <row r="20" spans="1:9" ht="30">
      <c r="A20" s="104" t="s">
        <v>359</v>
      </c>
      <c r="B20" s="98" t="s">
        <v>457</v>
      </c>
      <c r="C20" s="99"/>
      <c r="D20" s="99"/>
      <c r="E20" s="99"/>
      <c r="F20" s="99" t="s">
        <v>358</v>
      </c>
      <c r="G20" s="99"/>
      <c r="H20" s="99"/>
      <c r="I20" s="105"/>
    </row>
    <row r="21" spans="1:9" ht="15">
      <c r="A21" s="104" t="s">
        <v>360</v>
      </c>
      <c r="B21" s="97" t="s">
        <v>365</v>
      </c>
      <c r="C21" s="101"/>
      <c r="D21" s="101"/>
      <c r="E21" s="101" t="s">
        <v>358</v>
      </c>
      <c r="F21" s="101"/>
      <c r="G21" s="101"/>
      <c r="H21" s="101"/>
      <c r="I21" s="106"/>
    </row>
    <row r="22" spans="1:9" ht="15">
      <c r="A22" s="104">
        <v>11</v>
      </c>
      <c r="B22" s="97" t="s">
        <v>445</v>
      </c>
      <c r="C22" s="101"/>
      <c r="D22" s="101"/>
      <c r="E22" s="101"/>
      <c r="F22" s="101" t="s">
        <v>358</v>
      </c>
      <c r="G22" s="101"/>
      <c r="H22" s="101"/>
      <c r="I22" s="106"/>
    </row>
    <row r="23" spans="1:9" ht="15.75" thickBot="1">
      <c r="A23" s="107">
        <v>12</v>
      </c>
      <c r="B23" s="108" t="s">
        <v>366</v>
      </c>
      <c r="C23" s="109"/>
      <c r="D23" s="109"/>
      <c r="E23" s="109"/>
      <c r="F23" s="110"/>
      <c r="G23" s="110" t="s">
        <v>358</v>
      </c>
      <c r="H23" s="110" t="s">
        <v>358</v>
      </c>
      <c r="I23" s="111"/>
    </row>
  </sheetData>
  <dataValidations disablePrompts="1" count="1">
    <dataValidation type="list" allowBlank="1" showInputMessage="1" showErrorMessage="1" sqref="C3" xr:uid="{00000000-0002-0000-0500-000000000000}">
      <formula1>"-,FIT, FIC, FIS, FIF, FIP"</formula1>
    </dataValidation>
  </dataValidations>
  <hyperlinks>
    <hyperlink ref="B14" r:id="rId1" xr:uid="{00000000-0004-0000-0500-000000000000}"/>
    <hyperlink ref="B19" r:id="rId2" xr:uid="{00000000-0004-0000-0500-000001000000}"/>
  </hyperlinks>
  <pageMargins left="0.7" right="0.7" top="0.75" bottom="0.75" header="0.3" footer="0.3"/>
  <pageSetup paperSize="9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F31"/>
  <sheetViews>
    <sheetView showGridLines="0" topLeftCell="A4" zoomScale="145" zoomScaleNormal="145" workbookViewId="0">
      <selection activeCell="B1" sqref="B1:F1"/>
    </sheetView>
  </sheetViews>
  <sheetFormatPr defaultRowHeight="12.75"/>
  <cols>
    <col min="1" max="1" width="9.33203125" style="243"/>
    <col min="2" max="2" width="45" style="243" bestFit="1" customWidth="1"/>
    <col min="3" max="3" width="26.33203125" style="243" customWidth="1"/>
    <col min="4" max="4" width="9.33203125" style="243"/>
    <col min="5" max="5" width="50.5" style="243" bestFit="1" customWidth="1"/>
    <col min="6" max="6" width="49.6640625" style="243" bestFit="1" customWidth="1"/>
    <col min="7" max="16384" width="9.33203125" style="243"/>
  </cols>
  <sheetData>
    <row r="1" spans="2:6" ht="43.5" customHeight="1" thickTop="1" thickBot="1">
      <c r="B1" s="242" t="s">
        <v>463</v>
      </c>
      <c r="C1" s="242" t="s">
        <v>458</v>
      </c>
      <c r="D1" s="242" t="s">
        <v>459</v>
      </c>
      <c r="E1" s="243" t="s">
        <v>464</v>
      </c>
      <c r="F1" s="242" t="s">
        <v>564</v>
      </c>
    </row>
    <row r="2" spans="2:6" ht="12.75" customHeight="1" thickTop="1">
      <c r="B2" s="244" t="s">
        <v>454</v>
      </c>
      <c r="C2" s="245"/>
      <c r="D2" s="245"/>
      <c r="E2" s="244" t="s">
        <v>454</v>
      </c>
      <c r="F2" s="244" t="s">
        <v>565</v>
      </c>
    </row>
    <row r="3" spans="2:6" ht="12.75" customHeight="1">
      <c r="B3" s="246" t="s">
        <v>433</v>
      </c>
      <c r="C3" s="247"/>
      <c r="D3" s="246"/>
      <c r="E3" s="243" t="str">
        <f t="shared" ref="E3:E8" si="0" xml:space="preserve"> CONCATENATE(B3," ",C3," ",D3)</f>
        <v xml:space="preserve">Audits + IT Security + Revision   </v>
      </c>
      <c r="F3" s="248" t="s">
        <v>579</v>
      </c>
    </row>
    <row r="4" spans="2:6" ht="12.75" customHeight="1">
      <c r="B4" s="246" t="s">
        <v>434</v>
      </c>
      <c r="C4" s="247"/>
      <c r="D4" s="246" t="s">
        <v>460</v>
      </c>
      <c r="E4" s="243" t="str">
        <f t="shared" si="0"/>
        <v>Efficiency + Budget  rub</v>
      </c>
      <c r="F4" s="246" t="s">
        <v>566</v>
      </c>
    </row>
    <row r="5" spans="2:6" ht="12.75" customHeight="1">
      <c r="B5" s="249" t="s">
        <v>508</v>
      </c>
      <c r="C5" s="247" t="s">
        <v>522</v>
      </c>
      <c r="D5" s="246" t="s">
        <v>461</v>
      </c>
      <c r="E5" s="243" t="str">
        <f t="shared" si="0"/>
        <v>AvailaЬility  99,98 авто 100% мотор   %</v>
      </c>
      <c r="F5" s="246" t="s">
        <v>567</v>
      </c>
    </row>
    <row r="6" spans="2:6" ht="12.75" customHeight="1">
      <c r="B6" s="246" t="s">
        <v>494</v>
      </c>
      <c r="C6" s="247" t="s">
        <v>523</v>
      </c>
      <c r="D6" s="246" t="s">
        <v>524</v>
      </c>
      <c r="E6" s="243" t="str">
        <f t="shared" si="0"/>
        <v>Personal Data Protection нет нарушений шт</v>
      </c>
      <c r="F6" s="246" t="s">
        <v>568</v>
      </c>
    </row>
    <row r="7" spans="2:6" ht="12.75" customHeight="1">
      <c r="B7" s="246" t="s">
        <v>512</v>
      </c>
      <c r="C7" s="247" t="s">
        <v>523</v>
      </c>
      <c r="D7" s="246" t="s">
        <v>524</v>
      </c>
      <c r="E7" s="243" t="str">
        <f t="shared" si="0"/>
        <v>Legal requirements comliance нет нарушений шт</v>
      </c>
      <c r="F7" s="246" t="s">
        <v>569</v>
      </c>
    </row>
    <row r="8" spans="2:6">
      <c r="B8" s="249" t="s">
        <v>436</v>
      </c>
      <c r="C8" s="247"/>
      <c r="D8" s="246"/>
      <c r="E8" s="243" t="str">
        <f t="shared" si="0"/>
        <v xml:space="preserve">Other  </v>
      </c>
      <c r="F8" s="246" t="s">
        <v>570</v>
      </c>
    </row>
    <row r="9" spans="2:6">
      <c r="C9" s="247"/>
      <c r="D9" s="246"/>
      <c r="F9" s="250" t="s">
        <v>571</v>
      </c>
    </row>
    <row r="10" spans="2:6" ht="15">
      <c r="B10" s="249"/>
      <c r="C10" s="247"/>
      <c r="D10" s="246"/>
      <c r="E10" s="243" t="str">
        <f xml:space="preserve"> CONCATENATE(B8," ",C9," ",D9)</f>
        <v xml:space="preserve">Other  </v>
      </c>
      <c r="F10" s="248" t="s">
        <v>586</v>
      </c>
    </row>
    <row r="11" spans="2:6">
      <c r="B11" s="249"/>
      <c r="C11" s="247"/>
      <c r="D11" s="246"/>
      <c r="E11" s="243" t="str">
        <f t="shared" ref="E11:E20" si="1" xml:space="preserve"> CONCATENATE(B11," ",C11," ",D11)</f>
        <v xml:space="preserve">  </v>
      </c>
      <c r="F11" s="246" t="s">
        <v>577</v>
      </c>
    </row>
    <row r="12" spans="2:6">
      <c r="B12" s="249"/>
      <c r="C12" s="247"/>
      <c r="D12" s="246"/>
      <c r="E12" s="243" t="str">
        <f t="shared" si="1"/>
        <v xml:space="preserve">  </v>
      </c>
      <c r="F12" s="246" t="s">
        <v>575</v>
      </c>
    </row>
    <row r="13" spans="2:6">
      <c r="B13" s="249"/>
      <c r="C13" s="247"/>
      <c r="D13" s="246"/>
      <c r="E13" s="243" t="str">
        <f t="shared" si="1"/>
        <v xml:space="preserve">  </v>
      </c>
      <c r="F13" s="246" t="s">
        <v>594</v>
      </c>
    </row>
    <row r="14" spans="2:6">
      <c r="B14" s="249"/>
      <c r="C14" s="252"/>
      <c r="D14" s="253"/>
      <c r="E14" s="243" t="str">
        <f t="shared" si="1"/>
        <v xml:space="preserve">  </v>
      </c>
      <c r="F14" s="246" t="s">
        <v>576</v>
      </c>
    </row>
    <row r="15" spans="2:6">
      <c r="B15" s="249"/>
      <c r="C15" s="252"/>
      <c r="D15" s="253"/>
      <c r="E15" s="243" t="str">
        <f t="shared" si="1"/>
        <v xml:space="preserve">  </v>
      </c>
      <c r="F15" s="253" t="s">
        <v>587</v>
      </c>
    </row>
    <row r="16" spans="2:6" ht="15">
      <c r="B16" s="249" t="s">
        <v>501</v>
      </c>
      <c r="C16" s="252"/>
      <c r="D16" s="253"/>
      <c r="E16" s="243" t="str">
        <f t="shared" si="1"/>
        <v xml:space="preserve">конфиденциальность (Confidentiality);  </v>
      </c>
      <c r="F16" s="248" t="s">
        <v>588</v>
      </c>
    </row>
    <row r="17" spans="2:6">
      <c r="B17" s="249" t="s">
        <v>502</v>
      </c>
      <c r="C17" s="252"/>
      <c r="D17" s="253"/>
      <c r="E17" s="243" t="str">
        <f t="shared" si="1"/>
        <v xml:space="preserve"> целостность (Integrity);  </v>
      </c>
      <c r="F17" s="246" t="s">
        <v>589</v>
      </c>
    </row>
    <row r="18" spans="2:6">
      <c r="B18" s="249" t="s">
        <v>503</v>
      </c>
      <c r="C18" s="252"/>
      <c r="D18" s="253"/>
      <c r="E18" s="243" t="str">
        <f t="shared" si="1"/>
        <v xml:space="preserve"> доступность (Availability);  </v>
      </c>
      <c r="F18" s="246" t="s">
        <v>590</v>
      </c>
    </row>
    <row r="19" spans="2:6">
      <c r="B19" s="249" t="s">
        <v>504</v>
      </c>
      <c r="C19" s="252"/>
      <c r="D19" s="253"/>
      <c r="E19" s="243" t="str">
        <f t="shared" si="1"/>
        <v xml:space="preserve"> невозможность отказа (Non-repudiation);  </v>
      </c>
      <c r="F19" s="253" t="s">
        <v>591</v>
      </c>
    </row>
    <row r="20" spans="2:6">
      <c r="B20" s="249" t="s">
        <v>505</v>
      </c>
      <c r="C20" s="252"/>
      <c r="D20" s="253"/>
      <c r="E20" s="243" t="str">
        <f t="shared" si="1"/>
        <v xml:space="preserve"> достоверность (Authenticity);  </v>
      </c>
      <c r="F20" s="246" t="s">
        <v>592</v>
      </c>
    </row>
    <row r="21" spans="2:6">
      <c r="B21" s="249" t="s">
        <v>506</v>
      </c>
      <c r="C21" s="252"/>
      <c r="D21" s="253"/>
      <c r="E21" s="243" t="str">
        <f t="shared" ref="E21:E27" si="2" xml:space="preserve"> CONCATENATE(B21," ",C21," ",D21)</f>
        <v xml:space="preserve"> предсказуемость (Accountability);  </v>
      </c>
      <c r="F21" s="246" t="s">
        <v>578</v>
      </c>
    </row>
    <row r="22" spans="2:6">
      <c r="B22" s="249" t="s">
        <v>507</v>
      </c>
      <c r="C22" s="252"/>
      <c r="D22" s="253"/>
      <c r="E22" s="243" t="str">
        <f t="shared" si="2"/>
        <v xml:space="preserve"> авторизацию (Authorization).  </v>
      </c>
      <c r="F22" s="246" t="s">
        <v>593</v>
      </c>
    </row>
    <row r="23" spans="2:6" ht="15">
      <c r="B23" s="253" t="s">
        <v>435</v>
      </c>
      <c r="C23" s="252"/>
      <c r="D23" s="253"/>
      <c r="E23" s="243" t="str">
        <f t="shared" si="2"/>
        <v xml:space="preserve">   </v>
      </c>
      <c r="F23" s="248" t="s">
        <v>581</v>
      </c>
    </row>
    <row r="24" spans="2:6">
      <c r="B24" s="253" t="s">
        <v>435</v>
      </c>
      <c r="C24" s="252"/>
      <c r="D24" s="253"/>
      <c r="E24" s="243" t="str">
        <f t="shared" si="2"/>
        <v xml:space="preserve">   </v>
      </c>
      <c r="F24" s="253" t="s">
        <v>582</v>
      </c>
    </row>
    <row r="25" spans="2:6">
      <c r="B25" s="253" t="s">
        <v>435</v>
      </c>
      <c r="C25" s="252"/>
      <c r="D25" s="253"/>
      <c r="E25" s="243" t="str">
        <f t="shared" si="2"/>
        <v xml:space="preserve">   </v>
      </c>
      <c r="F25" s="253" t="s">
        <v>583</v>
      </c>
    </row>
    <row r="26" spans="2:6">
      <c r="B26" s="253" t="s">
        <v>435</v>
      </c>
      <c r="C26" s="252"/>
      <c r="D26" s="253"/>
      <c r="E26" s="243" t="str">
        <f t="shared" si="2"/>
        <v xml:space="preserve">   </v>
      </c>
      <c r="F26" s="253" t="s">
        <v>584</v>
      </c>
    </row>
    <row r="27" spans="2:6">
      <c r="B27" s="253" t="s">
        <v>435</v>
      </c>
      <c r="C27" s="252"/>
      <c r="D27" s="253"/>
      <c r="E27" s="243" t="str">
        <f t="shared" si="2"/>
        <v xml:space="preserve">   </v>
      </c>
      <c r="F27" s="253" t="s">
        <v>585</v>
      </c>
    </row>
    <row r="28" spans="2:6" ht="15">
      <c r="F28" s="251" t="s">
        <v>580</v>
      </c>
    </row>
    <row r="29" spans="2:6">
      <c r="F29" s="246" t="s">
        <v>572</v>
      </c>
    </row>
    <row r="30" spans="2:6">
      <c r="F30" s="246" t="s">
        <v>573</v>
      </c>
    </row>
    <row r="31" spans="2:6">
      <c r="F31" s="246" t="s">
        <v>574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"/>
  <sheetViews>
    <sheetView topLeftCell="A11" zoomScale="115" zoomScaleNormal="115" workbookViewId="0">
      <selection activeCell="B3" sqref="B3"/>
    </sheetView>
  </sheetViews>
  <sheetFormatPr defaultRowHeight="12.75"/>
  <sheetData>
    <row r="1" spans="1:1">
      <c r="A1" t="s">
        <v>345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3"/>
  <dimension ref="A1"/>
  <sheetViews>
    <sheetView zoomScale="115" zoomScaleNormal="115" workbookViewId="0">
      <selection activeCell="S44" sqref="S44"/>
    </sheetView>
  </sheetViews>
  <sheetFormatPr defaultRowHeight="12.75"/>
  <sheetData/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4"/>
  <dimension ref="A1:V94"/>
  <sheetViews>
    <sheetView topLeftCell="H1" workbookViewId="0">
      <selection activeCell="N21" sqref="N21"/>
    </sheetView>
  </sheetViews>
  <sheetFormatPr defaultColWidth="9.33203125" defaultRowHeight="12.75"/>
  <cols>
    <col min="1" max="1" width="19.33203125" style="14" customWidth="1"/>
    <col min="2" max="2" width="42.33203125" style="14" customWidth="1"/>
    <col min="3" max="3" width="10.33203125" style="14" customWidth="1"/>
    <col min="4" max="4" width="49.6640625" style="14" customWidth="1"/>
    <col min="5" max="5" width="9.33203125" style="14"/>
    <col min="6" max="6" width="79.1640625" style="14" bestFit="1" customWidth="1"/>
    <col min="7" max="7" width="141.6640625" style="14" bestFit="1" customWidth="1"/>
    <col min="8" max="8" width="19.1640625" style="14" customWidth="1"/>
    <col min="9" max="9" width="14.83203125" style="14" bestFit="1" customWidth="1"/>
    <col min="10" max="10" width="16.6640625" style="14" bestFit="1" customWidth="1"/>
    <col min="11" max="11" width="12.83203125" style="14" bestFit="1" customWidth="1"/>
    <col min="12" max="12" width="20.83203125" style="14" customWidth="1"/>
    <col min="13" max="13" width="37.83203125" style="14" bestFit="1" customWidth="1"/>
    <col min="14" max="14" width="7.6640625" style="14" bestFit="1" customWidth="1"/>
    <col min="15" max="15" width="41" style="14" customWidth="1"/>
    <col min="16" max="16" width="15.6640625" style="14" bestFit="1" customWidth="1"/>
    <col min="17" max="17" width="7.6640625" style="14" bestFit="1" customWidth="1"/>
    <col min="18" max="18" width="18.5" style="14" customWidth="1"/>
    <col min="19" max="19" width="25.83203125" style="14" customWidth="1"/>
    <col min="20" max="20" width="8.5" style="14" bestFit="1" customWidth="1"/>
    <col min="21" max="21" width="30.33203125" style="14" bestFit="1" customWidth="1"/>
    <col min="22" max="22" width="18" style="14" bestFit="1" customWidth="1"/>
    <col min="23" max="16384" width="9.33203125" style="14"/>
  </cols>
  <sheetData>
    <row r="1" spans="1:22">
      <c r="B1" s="14" t="s">
        <v>108</v>
      </c>
      <c r="D1" s="14" t="s">
        <v>109</v>
      </c>
      <c r="F1" s="14" t="s">
        <v>110</v>
      </c>
      <c r="H1" s="14" t="s">
        <v>30</v>
      </c>
      <c r="I1" s="14" t="s">
        <v>425</v>
      </c>
      <c r="J1" s="289" t="s">
        <v>337</v>
      </c>
      <c r="K1" s="289"/>
      <c r="L1" s="289"/>
      <c r="M1" s="292" t="s">
        <v>338</v>
      </c>
      <c r="N1" s="292"/>
      <c r="O1" s="292"/>
      <c r="P1" s="297" t="s">
        <v>389</v>
      </c>
      <c r="Q1" s="297"/>
      <c r="R1" s="297"/>
      <c r="S1" s="291" t="s">
        <v>339</v>
      </c>
      <c r="T1" s="291"/>
      <c r="U1" s="291"/>
      <c r="V1" s="14" t="s">
        <v>343</v>
      </c>
    </row>
    <row r="2" spans="1:22">
      <c r="H2" s="75" t="s">
        <v>330</v>
      </c>
      <c r="I2" s="75" t="s">
        <v>330</v>
      </c>
      <c r="J2" s="78" t="s">
        <v>335</v>
      </c>
      <c r="K2" s="78" t="s">
        <v>336</v>
      </c>
      <c r="L2" s="78" t="s">
        <v>340</v>
      </c>
      <c r="M2" s="82" t="s">
        <v>335</v>
      </c>
      <c r="N2" s="82" t="s">
        <v>336</v>
      </c>
      <c r="O2" s="82" t="s">
        <v>340</v>
      </c>
      <c r="P2" s="80" t="s">
        <v>335</v>
      </c>
      <c r="Q2" s="80" t="s">
        <v>336</v>
      </c>
      <c r="R2" s="80" t="s">
        <v>340</v>
      </c>
      <c r="S2" s="84" t="s">
        <v>335</v>
      </c>
      <c r="T2" s="84" t="s">
        <v>336</v>
      </c>
      <c r="U2" s="84" t="s">
        <v>340</v>
      </c>
    </row>
    <row r="3" spans="1:22">
      <c r="H3" s="14" t="s">
        <v>439</v>
      </c>
      <c r="I3" s="14" t="s">
        <v>426</v>
      </c>
      <c r="J3" s="79" t="s">
        <v>330</v>
      </c>
      <c r="K3" s="78">
        <v>0</v>
      </c>
      <c r="L3" s="78" t="str">
        <f t="shared" ref="L3:L12" si="0">CONCATENATE(J3," -   ",K3)</f>
        <v>---------- -   0</v>
      </c>
      <c r="M3" s="83" t="s">
        <v>330</v>
      </c>
      <c r="N3" s="82">
        <v>0</v>
      </c>
      <c r="O3" s="82" t="str">
        <f>CONCATENATE(M3," -    ",N3)</f>
        <v>---------- -    0</v>
      </c>
      <c r="P3" s="81" t="s">
        <v>330</v>
      </c>
      <c r="Q3" s="81">
        <v>0</v>
      </c>
      <c r="R3" s="80" t="str">
        <f t="shared" ref="R3:R8" si="1">CONCATENATE(P3," - ",Q3)</f>
        <v>---------- - 0</v>
      </c>
      <c r="S3" s="85" t="s">
        <v>330</v>
      </c>
      <c r="T3" s="84">
        <v>0</v>
      </c>
      <c r="U3" s="84" t="str">
        <f t="shared" ref="U3:U14" si="2">CONCATENATE(S3," - ",T3)</f>
        <v>---------- - 0</v>
      </c>
      <c r="V3" s="75" t="s">
        <v>330</v>
      </c>
    </row>
    <row r="4" spans="1:22">
      <c r="G4" s="75" t="s">
        <v>330</v>
      </c>
      <c r="H4" s="14" t="s">
        <v>449</v>
      </c>
      <c r="I4" s="14" t="s">
        <v>427</v>
      </c>
      <c r="J4" s="277">
        <v>100000</v>
      </c>
      <c r="K4" s="78">
        <v>0.05</v>
      </c>
      <c r="L4" s="78" t="str">
        <f t="shared" si="0"/>
        <v>100000 -   0,05</v>
      </c>
      <c r="M4" s="82" t="s">
        <v>32</v>
      </c>
      <c r="N4" s="82">
        <v>0</v>
      </c>
      <c r="O4" s="82" t="str">
        <f t="shared" ref="O4:O8" si="3">CONCATENATE(M4," -    ",N4)</f>
        <v>Нет -    0</v>
      </c>
      <c r="P4" s="80" t="s">
        <v>33</v>
      </c>
      <c r="Q4" s="80">
        <v>0</v>
      </c>
      <c r="R4" s="80" t="str">
        <f t="shared" si="1"/>
        <v>отсутствует - 0</v>
      </c>
      <c r="S4" s="84" t="s">
        <v>29</v>
      </c>
      <c r="T4" s="84">
        <v>10</v>
      </c>
      <c r="U4" s="84" t="str">
        <f t="shared" si="2"/>
        <v>более двух раз в год - 10</v>
      </c>
      <c r="V4" s="14" t="s">
        <v>412</v>
      </c>
    </row>
    <row r="5" spans="1:22">
      <c r="A5" s="15" t="s">
        <v>114</v>
      </c>
      <c r="B5" s="15" t="s">
        <v>118</v>
      </c>
      <c r="C5" s="16" t="s">
        <v>111</v>
      </c>
      <c r="D5" s="17" t="s">
        <v>119</v>
      </c>
      <c r="E5" s="18" t="s">
        <v>120</v>
      </c>
      <c r="F5" s="19" t="s">
        <v>121</v>
      </c>
      <c r="G5" s="14" t="str">
        <f>CONCATENATE(B5,"/",D5,"/",F5)</f>
        <v xml:space="preserve">Управление архитектурой/Архтитектура/Доступность архитектуры / бизнес-процессов  </v>
      </c>
      <c r="H5" s="14" t="s">
        <v>438</v>
      </c>
      <c r="I5" s="14" t="s">
        <v>428</v>
      </c>
      <c r="J5" s="277">
        <v>250000</v>
      </c>
      <c r="K5" s="78">
        <v>0.06</v>
      </c>
      <c r="L5" s="78" t="str">
        <f t="shared" si="0"/>
        <v>250000 -   0,06</v>
      </c>
      <c r="M5" s="82" t="s">
        <v>395</v>
      </c>
      <c r="N5" s="82">
        <v>0.1</v>
      </c>
      <c r="O5" s="82" t="str">
        <f t="shared" si="3"/>
        <v>кризис, кратковременная потеря доверия клиентов/партнеров к локальной компании -    0,1</v>
      </c>
      <c r="P5" s="80" t="s">
        <v>388</v>
      </c>
      <c r="Q5" s="80">
        <v>0.1</v>
      </c>
      <c r="R5" s="80" t="str">
        <f t="shared" si="1"/>
        <v>Незначительная - 0,1</v>
      </c>
      <c r="S5" s="84" t="s">
        <v>34</v>
      </c>
      <c r="T5" s="84">
        <v>9</v>
      </c>
      <c r="U5" s="84" t="str">
        <f t="shared" si="2"/>
        <v>два раза в год - 9</v>
      </c>
      <c r="V5" s="14" t="s">
        <v>344</v>
      </c>
    </row>
    <row r="6" spans="1:22">
      <c r="A6" s="15" t="s">
        <v>114</v>
      </c>
      <c r="B6" s="15" t="s">
        <v>118</v>
      </c>
      <c r="C6" s="16" t="s">
        <v>111</v>
      </c>
      <c r="D6" s="17" t="s">
        <v>119</v>
      </c>
      <c r="E6" s="18" t="s">
        <v>122</v>
      </c>
      <c r="F6" s="19" t="s">
        <v>346</v>
      </c>
      <c r="G6" s="14" t="str">
        <f t="shared" ref="G6:G69" si="4">CONCATENATE(B6,"/",D6,"/",F6)</f>
        <v xml:space="preserve">Управление архитектурой/Архтитектура/Методология внедрения программного обеспечения   </v>
      </c>
      <c r="H6" s="14" t="s">
        <v>437</v>
      </c>
      <c r="I6" s="14" t="s">
        <v>429</v>
      </c>
      <c r="J6" s="277">
        <v>500000</v>
      </c>
      <c r="K6" s="78">
        <v>7.0000000000000007E-2</v>
      </c>
      <c r="L6" s="78" t="str">
        <f t="shared" si="0"/>
        <v>500000 -   0,07</v>
      </c>
      <c r="M6" s="82" t="s">
        <v>396</v>
      </c>
      <c r="N6" s="82">
        <v>1</v>
      </c>
      <c r="O6" s="82" t="str">
        <f t="shared" si="3"/>
        <v>длительная потеря доверия клиентов/партнеров -    1</v>
      </c>
      <c r="P6" s="80" t="s">
        <v>390</v>
      </c>
      <c r="Q6" s="80">
        <v>1</v>
      </c>
      <c r="R6" s="80" t="str">
        <f t="shared" si="1"/>
        <v>Средняя - 1</v>
      </c>
      <c r="S6" s="84" t="s">
        <v>36</v>
      </c>
      <c r="T6" s="84">
        <v>8</v>
      </c>
      <c r="U6" s="84" t="str">
        <f t="shared" si="2"/>
        <v>один раз в год - 8</v>
      </c>
      <c r="V6" s="14" t="s">
        <v>341</v>
      </c>
    </row>
    <row r="7" spans="1:22">
      <c r="A7" s="15" t="s">
        <v>114</v>
      </c>
      <c r="B7" s="15" t="s">
        <v>118</v>
      </c>
      <c r="C7" s="16" t="s">
        <v>111</v>
      </c>
      <c r="D7" s="17" t="s">
        <v>119</v>
      </c>
      <c r="E7" s="18" t="s">
        <v>123</v>
      </c>
      <c r="F7" s="19" t="s">
        <v>40</v>
      </c>
      <c r="G7" s="14" t="str">
        <f t="shared" si="4"/>
        <v xml:space="preserve">Управление архитектурой/Архтитектура/Критерии принятия новых систем  </v>
      </c>
      <c r="I7" s="14" t="s">
        <v>430</v>
      </c>
      <c r="J7" s="277">
        <v>1000000</v>
      </c>
      <c r="K7" s="78">
        <v>0.09</v>
      </c>
      <c r="L7" s="78" t="str">
        <f t="shared" si="0"/>
        <v>1000000 -   0,09</v>
      </c>
      <c r="M7" s="82" t="s">
        <v>394</v>
      </c>
      <c r="N7" s="82">
        <v>5</v>
      </c>
      <c r="O7" s="82" t="str">
        <f t="shared" si="3"/>
        <v>Потеря репутации региональная -    5</v>
      </c>
      <c r="P7" s="80" t="s">
        <v>391</v>
      </c>
      <c r="Q7" s="80">
        <v>5</v>
      </c>
      <c r="R7" s="80" t="str">
        <f t="shared" si="1"/>
        <v>Крупная - 5</v>
      </c>
      <c r="S7" s="84" t="s">
        <v>38</v>
      </c>
      <c r="T7" s="84">
        <v>7</v>
      </c>
      <c r="U7" s="84" t="str">
        <f t="shared" si="2"/>
        <v>каждые 2 года - 7</v>
      </c>
      <c r="V7" s="14" t="s">
        <v>342</v>
      </c>
    </row>
    <row r="8" spans="1:22">
      <c r="A8" s="15" t="s">
        <v>114</v>
      </c>
      <c r="B8" s="15" t="s">
        <v>118</v>
      </c>
      <c r="C8" s="16" t="s">
        <v>111</v>
      </c>
      <c r="D8" s="17" t="s">
        <v>119</v>
      </c>
      <c r="E8" s="18" t="s">
        <v>124</v>
      </c>
      <c r="F8" s="19" t="s">
        <v>347</v>
      </c>
      <c r="G8" s="14" t="str">
        <f t="shared" si="4"/>
        <v xml:space="preserve">Управление архитектурой/Архтитектура/Архитектура плохо реализована  </v>
      </c>
      <c r="J8" s="277">
        <v>5000000</v>
      </c>
      <c r="K8" s="78">
        <v>0.1</v>
      </c>
      <c r="L8" s="78" t="str">
        <f t="shared" si="0"/>
        <v>5000000 -   0,1</v>
      </c>
      <c r="M8" s="82" t="s">
        <v>393</v>
      </c>
      <c r="N8" s="82">
        <v>10</v>
      </c>
      <c r="O8" s="82" t="str">
        <f t="shared" si="3"/>
        <v>Потеря репутации международная. -    10</v>
      </c>
      <c r="P8" s="80" t="s">
        <v>392</v>
      </c>
      <c r="Q8" s="80">
        <v>10</v>
      </c>
      <c r="R8" s="80" t="str">
        <f t="shared" si="1"/>
        <v>Особо крупная - 10</v>
      </c>
      <c r="S8" s="84" t="s">
        <v>41</v>
      </c>
      <c r="T8" s="84">
        <v>6</v>
      </c>
      <c r="U8" s="84" t="str">
        <f t="shared" si="2"/>
        <v>каждые 3 года - 6</v>
      </c>
    </row>
    <row r="9" spans="1:22">
      <c r="A9" s="15" t="s">
        <v>114</v>
      </c>
      <c r="B9" s="15" t="s">
        <v>118</v>
      </c>
      <c r="C9" s="16" t="s">
        <v>111</v>
      </c>
      <c r="D9" s="17" t="s">
        <v>119</v>
      </c>
      <c r="E9" s="18" t="s">
        <v>125</v>
      </c>
      <c r="F9" s="19" t="s">
        <v>126</v>
      </c>
      <c r="G9" s="14" t="str">
        <f t="shared" si="4"/>
        <v>Управление архитектурой/Архтитектура/Системы не отвечают бизнес-требованиям</v>
      </c>
      <c r="J9" s="277">
        <v>10000000</v>
      </c>
      <c r="K9" s="78">
        <v>0.15</v>
      </c>
      <c r="L9" s="78" t="str">
        <f t="shared" si="0"/>
        <v>10000000 -   0,15</v>
      </c>
      <c r="M9" s="82"/>
      <c r="N9" s="82"/>
      <c r="O9" s="82"/>
      <c r="P9" s="80"/>
      <c r="Q9" s="80"/>
      <c r="R9" s="80"/>
      <c r="S9" s="84" t="s">
        <v>43</v>
      </c>
      <c r="T9" s="84">
        <v>5</v>
      </c>
      <c r="U9" s="84" t="str">
        <f t="shared" si="2"/>
        <v>каждые 4 года - 5</v>
      </c>
    </row>
    <row r="10" spans="1:22">
      <c r="A10" s="15" t="s">
        <v>114</v>
      </c>
      <c r="B10" s="15" t="s">
        <v>118</v>
      </c>
      <c r="C10" s="16" t="s">
        <v>111</v>
      </c>
      <c r="D10" s="17" t="s">
        <v>119</v>
      </c>
      <c r="E10" s="18" t="s">
        <v>127</v>
      </c>
      <c r="F10" s="19" t="s">
        <v>128</v>
      </c>
      <c r="G10" s="14" t="str">
        <f t="shared" si="4"/>
        <v xml:space="preserve">Управление архитектурой/Архтитектура/Нарушение условий лицензирования при разработке систем </v>
      </c>
      <c r="J10" s="277">
        <v>25000000</v>
      </c>
      <c r="K10" s="78">
        <v>0.17</v>
      </c>
      <c r="L10" s="78" t="str">
        <f t="shared" si="0"/>
        <v>25000000 -   0,17</v>
      </c>
      <c r="M10" s="82"/>
      <c r="N10" s="82"/>
      <c r="O10" s="82"/>
      <c r="P10" s="80"/>
      <c r="Q10" s="80"/>
      <c r="R10" s="80"/>
      <c r="S10" s="84" t="s">
        <v>45</v>
      </c>
      <c r="T10" s="84">
        <v>4</v>
      </c>
      <c r="U10" s="84" t="str">
        <f t="shared" si="2"/>
        <v>каждые 5 лет - 4</v>
      </c>
    </row>
    <row r="11" spans="1:22">
      <c r="A11" s="15" t="s">
        <v>114</v>
      </c>
      <c r="B11" s="15" t="s">
        <v>118</v>
      </c>
      <c r="C11" s="18" t="s">
        <v>112</v>
      </c>
      <c r="D11" s="18" t="s">
        <v>129</v>
      </c>
      <c r="E11" s="18" t="s">
        <v>130</v>
      </c>
      <c r="F11" s="19" t="s">
        <v>131</v>
      </c>
      <c r="G11" s="14" t="str">
        <f t="shared" si="4"/>
        <v>Управление архитектурой/Технологии/Неспособность планировать устаревание технологий</v>
      </c>
      <c r="J11" s="277">
        <v>50000000</v>
      </c>
      <c r="K11" s="78">
        <v>0.2</v>
      </c>
      <c r="L11" s="78" t="str">
        <f t="shared" si="0"/>
        <v>50000000 -   0,2</v>
      </c>
      <c r="M11" s="82"/>
      <c r="N11" s="82"/>
      <c r="O11" s="82"/>
      <c r="P11" s="80"/>
      <c r="Q11" s="80"/>
      <c r="R11" s="80"/>
      <c r="S11" s="84" t="s">
        <v>47</v>
      </c>
      <c r="T11" s="84">
        <v>3</v>
      </c>
      <c r="U11" s="84" t="str">
        <f t="shared" si="2"/>
        <v>каждые 7 лет - 3</v>
      </c>
    </row>
    <row r="12" spans="1:22">
      <c r="A12" s="20" t="s">
        <v>132</v>
      </c>
      <c r="B12" s="20" t="s">
        <v>133</v>
      </c>
      <c r="C12" s="21" t="s">
        <v>113</v>
      </c>
      <c r="D12" s="22" t="s">
        <v>133</v>
      </c>
      <c r="E12" s="23" t="s">
        <v>134</v>
      </c>
      <c r="F12" s="24" t="s">
        <v>135</v>
      </c>
      <c r="G12" s="14" t="str">
        <f t="shared" si="4"/>
        <v xml:space="preserve">Управление соответствием/Управление соответствием/Процесс  </v>
      </c>
      <c r="J12" s="277">
        <v>100000000</v>
      </c>
      <c r="K12" s="78">
        <v>0.5</v>
      </c>
      <c r="L12" s="78" t="str">
        <f t="shared" si="0"/>
        <v>100000000 -   0,5</v>
      </c>
      <c r="M12" s="82"/>
      <c r="N12" s="82"/>
      <c r="O12" s="82"/>
      <c r="P12" s="80"/>
      <c r="Q12" s="80"/>
      <c r="R12" s="80"/>
      <c r="S12" s="84" t="s">
        <v>49</v>
      </c>
      <c r="T12" s="84">
        <v>2</v>
      </c>
      <c r="U12" s="84" t="str">
        <f t="shared" si="2"/>
        <v>каждые 10 лет - 2</v>
      </c>
    </row>
    <row r="13" spans="1:22">
      <c r="A13" s="20" t="s">
        <v>132</v>
      </c>
      <c r="B13" s="20" t="s">
        <v>133</v>
      </c>
      <c r="C13" s="21" t="s">
        <v>113</v>
      </c>
      <c r="D13" s="22" t="s">
        <v>133</v>
      </c>
      <c r="E13" s="23" t="s">
        <v>136</v>
      </c>
      <c r="F13" s="24" t="s">
        <v>137</v>
      </c>
      <c r="G13" s="14" t="str">
        <f t="shared" si="4"/>
        <v xml:space="preserve">Управление соответствием/Управление соответствием/Несоблюдение правовых норм  </v>
      </c>
      <c r="J13" s="277"/>
      <c r="K13" s="78"/>
      <c r="L13" s="78"/>
      <c r="M13" s="82"/>
      <c r="N13" s="82"/>
      <c r="O13" s="82"/>
      <c r="P13" s="80"/>
      <c r="Q13" s="80"/>
      <c r="R13" s="80"/>
      <c r="S13" s="84" t="s">
        <v>51</v>
      </c>
      <c r="T13" s="84">
        <v>1.5</v>
      </c>
      <c r="U13" s="84" t="str">
        <f t="shared" si="2"/>
        <v>каждые 15 лет - 1,5</v>
      </c>
    </row>
    <row r="14" spans="1:22">
      <c r="A14" s="20" t="s">
        <v>132</v>
      </c>
      <c r="B14" s="20" t="s">
        <v>133</v>
      </c>
      <c r="C14" s="21" t="s">
        <v>113</v>
      </c>
      <c r="D14" s="22" t="s">
        <v>133</v>
      </c>
      <c r="E14" s="23" t="s">
        <v>138</v>
      </c>
      <c r="F14" s="24" t="s">
        <v>139</v>
      </c>
      <c r="G14" s="14" t="str">
        <f t="shared" si="4"/>
        <v xml:space="preserve">Управление соответствием/Управление соответствием/Несоблюдение внутренних правил  </v>
      </c>
      <c r="J14" s="277"/>
      <c r="K14" s="78"/>
      <c r="L14" s="78"/>
      <c r="M14" s="82"/>
      <c r="N14" s="82"/>
      <c r="O14" s="82"/>
      <c r="P14" s="80"/>
      <c r="Q14" s="80"/>
      <c r="R14" s="80"/>
      <c r="S14" s="84" t="s">
        <v>53</v>
      </c>
      <c r="T14" s="84">
        <v>1</v>
      </c>
      <c r="U14" s="84" t="str">
        <f t="shared" si="2"/>
        <v>каждые 20 лет - 1</v>
      </c>
    </row>
    <row r="15" spans="1:22">
      <c r="A15" s="25" t="s">
        <v>140</v>
      </c>
      <c r="B15" s="25" t="s">
        <v>141</v>
      </c>
      <c r="C15" s="26" t="s">
        <v>142</v>
      </c>
      <c r="D15" s="26" t="s">
        <v>143</v>
      </c>
      <c r="E15" s="27" t="s">
        <v>144</v>
      </c>
      <c r="F15" s="28" t="s">
        <v>60</v>
      </c>
      <c r="G15" s="14" t="str">
        <f t="shared" si="4"/>
        <v xml:space="preserve">Управление финансами/Слияния/поглощения/продажа активов/Интеграция приобретенных компаний  </v>
      </c>
      <c r="J15" s="277"/>
      <c r="K15" s="78"/>
      <c r="L15" s="78"/>
      <c r="M15" s="82"/>
      <c r="N15" s="82"/>
      <c r="O15" s="82"/>
      <c r="P15" s="80"/>
      <c r="Q15" s="80"/>
      <c r="R15" s="80"/>
      <c r="S15" s="84"/>
      <c r="T15" s="84"/>
      <c r="U15" s="84"/>
    </row>
    <row r="16" spans="1:22">
      <c r="A16" s="25" t="s">
        <v>140</v>
      </c>
      <c r="B16" s="25" t="s">
        <v>141</v>
      </c>
      <c r="C16" s="29" t="s">
        <v>145</v>
      </c>
      <c r="D16" s="30" t="s">
        <v>146</v>
      </c>
      <c r="E16" s="27" t="s">
        <v>147</v>
      </c>
      <c r="F16" s="28" t="s">
        <v>61</v>
      </c>
      <c r="G16" s="14" t="str">
        <f t="shared" si="4"/>
        <v xml:space="preserve">Управление финансами/Планирование/бюджетирование/прогноз/Неспособность контролировать планы и бюджеты  </v>
      </c>
      <c r="J16" s="277"/>
      <c r="K16" s="78"/>
      <c r="L16" s="78"/>
      <c r="M16" s="82"/>
      <c r="N16" s="82"/>
      <c r="O16" s="82"/>
      <c r="P16" s="80"/>
      <c r="Q16" s="80"/>
      <c r="R16" s="80"/>
      <c r="S16" s="84"/>
      <c r="T16" s="84"/>
      <c r="U16" s="84"/>
    </row>
    <row r="17" spans="1:21">
      <c r="A17" s="25" t="s">
        <v>140</v>
      </c>
      <c r="B17" s="25" t="s">
        <v>141</v>
      </c>
      <c r="C17" s="29" t="s">
        <v>145</v>
      </c>
      <c r="D17" s="30" t="s">
        <v>146</v>
      </c>
      <c r="E17" s="27" t="s">
        <v>148</v>
      </c>
      <c r="F17" s="28" t="s">
        <v>62</v>
      </c>
      <c r="G17" s="14" t="str">
        <f t="shared" si="4"/>
        <v xml:space="preserve">Управление финансами/Планирование/бюджетирование/прогноз/Координация общего бюджета ИТ  </v>
      </c>
      <c r="J17" s="277"/>
      <c r="K17" s="78"/>
      <c r="L17" s="78"/>
      <c r="M17" s="82"/>
      <c r="N17" s="82"/>
      <c r="O17" s="82"/>
      <c r="P17" s="80"/>
      <c r="Q17" s="80"/>
      <c r="R17" s="80"/>
      <c r="S17" s="84"/>
      <c r="T17" s="84"/>
      <c r="U17" s="84"/>
    </row>
    <row r="18" spans="1:21">
      <c r="A18" s="25" t="s">
        <v>140</v>
      </c>
      <c r="B18" s="25" t="s">
        <v>141</v>
      </c>
      <c r="C18" s="29" t="s">
        <v>145</v>
      </c>
      <c r="D18" s="30" t="s">
        <v>146</v>
      </c>
      <c r="E18" s="27" t="s">
        <v>149</v>
      </c>
      <c r="F18" s="28" t="s">
        <v>150</v>
      </c>
      <c r="G18" s="14" t="str">
        <f t="shared" si="4"/>
        <v xml:space="preserve">Управление финансами/Планирование/бюджетирование/прогноз/Разработка отдельных/собственных ИТ-бюджетов  </v>
      </c>
      <c r="J18" s="277"/>
      <c r="K18" s="78"/>
      <c r="L18" s="78"/>
      <c r="M18" s="82"/>
      <c r="N18" s="82"/>
      <c r="O18" s="82"/>
      <c r="P18" s="80"/>
      <c r="Q18" s="80"/>
      <c r="R18" s="80"/>
      <c r="S18" s="84"/>
      <c r="T18" s="84"/>
      <c r="U18" s="84"/>
    </row>
    <row r="19" spans="1:21">
      <c r="A19" s="25" t="s">
        <v>140</v>
      </c>
      <c r="B19" s="25" t="s">
        <v>141</v>
      </c>
      <c r="C19" s="29" t="s">
        <v>145</v>
      </c>
      <c r="D19" s="30" t="s">
        <v>146</v>
      </c>
      <c r="E19" s="27" t="s">
        <v>151</v>
      </c>
      <c r="F19" s="28" t="s">
        <v>152</v>
      </c>
      <c r="G19" s="14" t="str">
        <f t="shared" si="4"/>
        <v xml:space="preserve">Управление финансами/Планирование/бюджетирование/прогноз/Процесс составления бюджета / недостоверная информация  </v>
      </c>
      <c r="J19" s="277"/>
      <c r="K19" s="78"/>
      <c r="L19" s="78"/>
      <c r="M19" s="82"/>
      <c r="N19" s="82"/>
      <c r="O19" s="82"/>
      <c r="P19" s="80"/>
      <c r="Q19" s="80"/>
      <c r="R19" s="80"/>
      <c r="S19" s="84"/>
      <c r="T19" s="84"/>
      <c r="U19" s="84"/>
    </row>
    <row r="20" spans="1:21">
      <c r="A20" s="338" t="s">
        <v>115</v>
      </c>
      <c r="B20" s="31" t="s">
        <v>153</v>
      </c>
      <c r="C20" s="32" t="s">
        <v>115</v>
      </c>
      <c r="D20" s="31" t="s">
        <v>153</v>
      </c>
      <c r="E20" s="33" t="s">
        <v>154</v>
      </c>
      <c r="F20" s="34" t="s">
        <v>155</v>
      </c>
      <c r="G20" s="14" t="str">
        <f t="shared" si="4"/>
        <v xml:space="preserve">Управление непрерывностью ИТ услуг/Управление непрерывностью ИТ услуг/Недоступные ИТ-ресурсы  </v>
      </c>
      <c r="J20" s="78"/>
      <c r="K20" s="78"/>
      <c r="L20" s="78"/>
      <c r="M20" s="82"/>
      <c r="N20" s="82"/>
      <c r="O20" s="82"/>
      <c r="P20" s="80"/>
      <c r="Q20" s="80"/>
      <c r="R20" s="80"/>
      <c r="S20" s="84"/>
      <c r="T20" s="84"/>
      <c r="U20" s="84"/>
    </row>
    <row r="21" spans="1:21">
      <c r="A21" s="338"/>
      <c r="B21" s="31" t="s">
        <v>153</v>
      </c>
      <c r="C21" s="32" t="s">
        <v>115</v>
      </c>
      <c r="D21" s="31" t="s">
        <v>153</v>
      </c>
      <c r="E21" s="33" t="s">
        <v>156</v>
      </c>
      <c r="F21" s="34" t="s">
        <v>63</v>
      </c>
      <c r="G21" s="14" t="str">
        <f t="shared" si="4"/>
        <v xml:space="preserve">Управление непрерывностью ИТ услуг/Управление непрерывностью ИТ услуг/Невозможность восстановления по мере необходимости  </v>
      </c>
      <c r="J21" s="78"/>
      <c r="K21" s="78"/>
      <c r="L21" s="78"/>
      <c r="M21" s="82"/>
      <c r="N21" s="82"/>
      <c r="O21" s="82"/>
      <c r="P21" s="80"/>
      <c r="Q21" s="80"/>
      <c r="R21" s="80"/>
      <c r="U21" s="84"/>
    </row>
    <row r="22" spans="1:21">
      <c r="A22" s="338"/>
      <c r="B22" s="31" t="s">
        <v>153</v>
      </c>
      <c r="C22" s="32" t="s">
        <v>115</v>
      </c>
      <c r="D22" s="31" t="s">
        <v>153</v>
      </c>
      <c r="E22" s="33" t="s">
        <v>157</v>
      </c>
      <c r="F22" s="34" t="s">
        <v>64</v>
      </c>
      <c r="G22" s="14" t="str">
        <f t="shared" si="4"/>
        <v xml:space="preserve">Управление непрерывностью ИТ услуг/Управление непрерывностью ИТ услуг/Неадекватный анализ влияния на бизнес   </v>
      </c>
      <c r="J22" s="78"/>
      <c r="K22" s="78"/>
      <c r="L22" s="78"/>
      <c r="M22" s="82"/>
      <c r="N22" s="82"/>
      <c r="O22" s="82"/>
      <c r="P22" s="80"/>
      <c r="Q22" s="80"/>
      <c r="R22" s="80"/>
      <c r="U22" s="84"/>
    </row>
    <row r="23" spans="1:21">
      <c r="A23" s="35" t="s">
        <v>116</v>
      </c>
      <c r="B23" s="36" t="s">
        <v>158</v>
      </c>
      <c r="C23" s="37" t="s">
        <v>116</v>
      </c>
      <c r="D23" s="36" t="s">
        <v>158</v>
      </c>
      <c r="E23" s="38" t="s">
        <v>159</v>
      </c>
      <c r="F23" s="39" t="s">
        <v>65</v>
      </c>
      <c r="G23" s="14" t="str">
        <f t="shared" si="4"/>
        <v xml:space="preserve">Управление лицензиями/Управление лицензиями/Обязательства по контрактам  </v>
      </c>
      <c r="J23" s="78"/>
      <c r="K23" s="78"/>
      <c r="L23" s="78"/>
      <c r="M23" s="82"/>
      <c r="N23" s="82"/>
      <c r="O23" s="82"/>
      <c r="P23" s="80"/>
      <c r="Q23" s="80"/>
      <c r="R23" s="80"/>
      <c r="U23" s="84"/>
    </row>
    <row r="24" spans="1:21" ht="13.5" thickBot="1">
      <c r="A24" s="35" t="s">
        <v>116</v>
      </c>
      <c r="B24" s="36" t="s">
        <v>158</v>
      </c>
      <c r="C24" s="37" t="s">
        <v>116</v>
      </c>
      <c r="D24" s="36" t="s">
        <v>158</v>
      </c>
      <c r="E24" s="38" t="s">
        <v>160</v>
      </c>
      <c r="F24" s="39" t="s">
        <v>161</v>
      </c>
      <c r="G24" s="14" t="str">
        <f t="shared" si="4"/>
        <v xml:space="preserve">Управление лицензиями/Управление лицензиями/Несоответствующая техническая инвентаризация лицензий  </v>
      </c>
    </row>
    <row r="25" spans="1:21" ht="45.75" thickBot="1">
      <c r="A25" s="35" t="s">
        <v>116</v>
      </c>
      <c r="B25" s="36" t="s">
        <v>158</v>
      </c>
      <c r="C25" s="37" t="s">
        <v>116</v>
      </c>
      <c r="D25" s="36" t="s">
        <v>158</v>
      </c>
      <c r="E25" s="38" t="s">
        <v>162</v>
      </c>
      <c r="F25" s="39" t="s">
        <v>163</v>
      </c>
      <c r="G25" s="14" t="str">
        <f t="shared" si="4"/>
        <v xml:space="preserve">Управление лицензиями/Управление лицензиями/Несоответствующая коммерческая инвентаризация лицензий  </v>
      </c>
      <c r="J25" s="115" t="s">
        <v>370</v>
      </c>
      <c r="K25" s="116" t="s">
        <v>371</v>
      </c>
    </row>
    <row r="26" spans="1:21" ht="13.5" thickBot="1">
      <c r="A26" s="35" t="s">
        <v>116</v>
      </c>
      <c r="B26" s="36" t="s">
        <v>158</v>
      </c>
      <c r="C26" s="37" t="s">
        <v>116</v>
      </c>
      <c r="D26" s="36" t="s">
        <v>158</v>
      </c>
      <c r="E26" s="38" t="s">
        <v>164</v>
      </c>
      <c r="F26" s="39" t="s">
        <v>66</v>
      </c>
      <c r="G26" s="14" t="str">
        <f t="shared" si="4"/>
        <v xml:space="preserve">Управление лицензиями/Управление лицензиями/Недо/сверх лицензирование  </v>
      </c>
      <c r="J26" s="77" t="s">
        <v>372</v>
      </c>
      <c r="K26" s="117">
        <v>24999</v>
      </c>
      <c r="S26" s="86" t="s">
        <v>319</v>
      </c>
      <c r="T26" s="112">
        <v>0.05</v>
      </c>
    </row>
    <row r="27" spans="1:21" ht="13.5" thickBot="1">
      <c r="A27" s="40" t="s">
        <v>117</v>
      </c>
      <c r="B27" s="41" t="s">
        <v>165</v>
      </c>
      <c r="C27" s="42" t="s">
        <v>166</v>
      </c>
      <c r="D27" s="41" t="s">
        <v>167</v>
      </c>
      <c r="E27" s="43" t="s">
        <v>168</v>
      </c>
      <c r="F27" s="44" t="s">
        <v>169</v>
      </c>
      <c r="G27" s="14" t="str">
        <f t="shared" si="4"/>
        <v>Оперативное управление/Управление изменениями/Изменения отдельно не тестируются</v>
      </c>
      <c r="J27" s="77" t="s">
        <v>373</v>
      </c>
      <c r="K27" s="117">
        <v>49999</v>
      </c>
      <c r="S27" s="87" t="s">
        <v>320</v>
      </c>
      <c r="T27" s="113">
        <v>6.7000000000000004E-2</v>
      </c>
    </row>
    <row r="28" spans="1:21" ht="13.5" thickBot="1">
      <c r="A28" s="40" t="s">
        <v>117</v>
      </c>
      <c r="B28" s="41" t="s">
        <v>165</v>
      </c>
      <c r="C28" s="42" t="s">
        <v>166</v>
      </c>
      <c r="D28" s="41" t="s">
        <v>167</v>
      </c>
      <c r="E28" s="43" t="s">
        <v>170</v>
      </c>
      <c r="F28" s="44" t="s">
        <v>171</v>
      </c>
      <c r="G28" s="14" t="str">
        <f t="shared" si="4"/>
        <v>Оперативное управление/Управление изменениями/Невозможность восстановления</v>
      </c>
      <c r="J28" s="77" t="s">
        <v>374</v>
      </c>
      <c r="K28" s="117">
        <v>99999</v>
      </c>
      <c r="S28" s="87" t="s">
        <v>321</v>
      </c>
      <c r="T28" s="113">
        <v>0.1</v>
      </c>
    </row>
    <row r="29" spans="1:21" ht="13.5" thickBot="1">
      <c r="A29" s="40" t="s">
        <v>117</v>
      </c>
      <c r="B29" s="41" t="s">
        <v>165</v>
      </c>
      <c r="C29" s="42" t="s">
        <v>166</v>
      </c>
      <c r="D29" s="41" t="s">
        <v>167</v>
      </c>
      <c r="E29" s="43" t="s">
        <v>172</v>
      </c>
      <c r="F29" s="44" t="s">
        <v>67</v>
      </c>
      <c r="G29" s="14" t="str">
        <f t="shared" si="4"/>
        <v xml:space="preserve">Оперативное управление/Управление изменениями/Неэффективные процессы управления изменениями  </v>
      </c>
      <c r="J29" s="77" t="s">
        <v>375</v>
      </c>
      <c r="K29" s="117">
        <v>249999</v>
      </c>
      <c r="S29" s="77" t="s">
        <v>322</v>
      </c>
      <c r="T29" s="114">
        <v>0.14299999999999999</v>
      </c>
    </row>
    <row r="30" spans="1:21" ht="13.5" thickBot="1">
      <c r="A30" s="40" t="s">
        <v>117</v>
      </c>
      <c r="B30" s="41" t="s">
        <v>165</v>
      </c>
      <c r="C30" s="42" t="s">
        <v>166</v>
      </c>
      <c r="D30" s="41" t="s">
        <v>167</v>
      </c>
      <c r="E30" s="43" t="s">
        <v>173</v>
      </c>
      <c r="F30" s="44" t="s">
        <v>348</v>
      </c>
      <c r="G30" s="14" t="str">
        <f t="shared" si="4"/>
        <v xml:space="preserve">Оперативное управление/Управление изменениями/Предварительное тестирование  </v>
      </c>
      <c r="J30" s="77" t="s">
        <v>376</v>
      </c>
      <c r="K30" s="117">
        <v>499999</v>
      </c>
      <c r="S30" s="77" t="s">
        <v>323</v>
      </c>
      <c r="T30" s="114">
        <v>0.2</v>
      </c>
    </row>
    <row r="31" spans="1:21" ht="13.5" thickBot="1">
      <c r="A31" s="40" t="s">
        <v>117</v>
      </c>
      <c r="B31" s="41" t="s">
        <v>165</v>
      </c>
      <c r="C31" s="42" t="s">
        <v>166</v>
      </c>
      <c r="D31" s="41" t="s">
        <v>167</v>
      </c>
      <c r="E31" s="43" t="s">
        <v>174</v>
      </c>
      <c r="F31" s="44" t="s">
        <v>349</v>
      </c>
      <c r="G31" s="14" t="str">
        <f t="shared" si="4"/>
        <v>Оперативное управление/Управление изменениями/Изменения продуктивной среды системы</v>
      </c>
      <c r="J31" s="77" t="s">
        <v>377</v>
      </c>
      <c r="K31" s="117">
        <v>999999</v>
      </c>
      <c r="S31" s="77" t="s">
        <v>324</v>
      </c>
      <c r="T31" s="114">
        <v>0.25</v>
      </c>
    </row>
    <row r="32" spans="1:21" ht="13.5" thickBot="1">
      <c r="A32" s="40" t="s">
        <v>117</v>
      </c>
      <c r="B32" s="41" t="s">
        <v>165</v>
      </c>
      <c r="C32" s="43" t="s">
        <v>175</v>
      </c>
      <c r="D32" s="43" t="s">
        <v>176</v>
      </c>
      <c r="E32" s="43" t="s">
        <v>177</v>
      </c>
      <c r="F32" s="44" t="s">
        <v>68</v>
      </c>
      <c r="G32" s="14" t="str">
        <f t="shared" si="4"/>
        <v xml:space="preserve">Оперативное управление/Управление конфигурациями/Записи CI не обновлены  </v>
      </c>
      <c r="J32" s="77" t="s">
        <v>378</v>
      </c>
      <c r="K32" s="117">
        <v>2499999</v>
      </c>
      <c r="S32" s="77" t="s">
        <v>325</v>
      </c>
      <c r="T32" s="114">
        <v>0.33</v>
      </c>
    </row>
    <row r="33" spans="1:20" ht="13.5" thickBot="1">
      <c r="A33" s="40" t="s">
        <v>117</v>
      </c>
      <c r="B33" s="41" t="s">
        <v>165</v>
      </c>
      <c r="C33" s="43" t="s">
        <v>178</v>
      </c>
      <c r="D33" s="43" t="s">
        <v>179</v>
      </c>
      <c r="E33" s="43" t="s">
        <v>180</v>
      </c>
      <c r="F33" s="44" t="s">
        <v>69</v>
      </c>
      <c r="G33" s="14" t="str">
        <f t="shared" si="4"/>
        <v xml:space="preserve">Оперативное управление/Отчеты руководству/Невозможность сообщить о ключевых показателях  </v>
      </c>
      <c r="J33" s="77" t="s">
        <v>379</v>
      </c>
      <c r="K33" s="117">
        <v>4999999</v>
      </c>
      <c r="S33" s="77" t="s">
        <v>326</v>
      </c>
      <c r="T33" s="114">
        <v>0.5</v>
      </c>
    </row>
    <row r="34" spans="1:20" ht="13.5" thickBot="1">
      <c r="A34" s="40" t="s">
        <v>117</v>
      </c>
      <c r="B34" s="41" t="s">
        <v>165</v>
      </c>
      <c r="C34" s="42" t="s">
        <v>181</v>
      </c>
      <c r="D34" s="41" t="s">
        <v>182</v>
      </c>
      <c r="E34" s="43" t="s">
        <v>183</v>
      </c>
      <c r="F34" s="44" t="s">
        <v>350</v>
      </c>
      <c r="G34" s="14" t="str">
        <f t="shared" si="4"/>
        <v xml:space="preserve">Оперативное управление/Оперативное планирование/Неправильное распределение ресурсов  </v>
      </c>
      <c r="J34" s="77" t="s">
        <v>380</v>
      </c>
      <c r="K34" s="117">
        <v>9999999</v>
      </c>
      <c r="S34" s="77" t="s">
        <v>327</v>
      </c>
      <c r="T34" s="114">
        <v>1</v>
      </c>
    </row>
    <row r="35" spans="1:20" ht="13.5" thickBot="1">
      <c r="A35" s="40" t="s">
        <v>117</v>
      </c>
      <c r="B35" s="41" t="s">
        <v>165</v>
      </c>
      <c r="C35" s="42" t="s">
        <v>181</v>
      </c>
      <c r="D35" s="41" t="s">
        <v>182</v>
      </c>
      <c r="E35" s="43" t="s">
        <v>184</v>
      </c>
      <c r="F35" s="44" t="s">
        <v>351</v>
      </c>
      <c r="G35" s="14" t="str">
        <f t="shared" si="4"/>
        <v xml:space="preserve">Оперативное управление/Оперативное планирование/Инвестиции в ИТ не приносят выгоды  </v>
      </c>
      <c r="J35" s="77" t="s">
        <v>381</v>
      </c>
      <c r="K35" s="117">
        <v>24999999</v>
      </c>
      <c r="S35" s="77" t="s">
        <v>328</v>
      </c>
      <c r="T35" s="114">
        <v>2</v>
      </c>
    </row>
    <row r="36" spans="1:20" ht="26.25" thickBot="1">
      <c r="A36" s="40" t="s">
        <v>117</v>
      </c>
      <c r="B36" s="41" t="s">
        <v>165</v>
      </c>
      <c r="C36" s="42" t="s">
        <v>181</v>
      </c>
      <c r="D36" s="41" t="s">
        <v>182</v>
      </c>
      <c r="E36" s="43" t="s">
        <v>185</v>
      </c>
      <c r="F36" s="44" t="s">
        <v>70</v>
      </c>
      <c r="G36" s="14" t="str">
        <f t="shared" si="4"/>
        <v xml:space="preserve">Оперативное управление/Оперативное планирование/Отсутствие определения ИТ-услуг  </v>
      </c>
      <c r="J36" s="77" t="s">
        <v>382</v>
      </c>
      <c r="K36" s="117">
        <v>49999999</v>
      </c>
      <c r="S36" s="77" t="s">
        <v>329</v>
      </c>
      <c r="T36" s="114">
        <v>3</v>
      </c>
    </row>
    <row r="37" spans="1:20" ht="13.5" thickBot="1">
      <c r="A37" s="40" t="s">
        <v>117</v>
      </c>
      <c r="B37" s="41" t="s">
        <v>165</v>
      </c>
      <c r="C37" s="42" t="s">
        <v>181</v>
      </c>
      <c r="D37" s="41" t="s">
        <v>182</v>
      </c>
      <c r="E37" s="43" t="s">
        <v>186</v>
      </c>
      <c r="F37" s="44" t="s">
        <v>71</v>
      </c>
      <c r="G37" s="14" t="str">
        <f t="shared" si="4"/>
        <v xml:space="preserve">Оперативное управление/Оперативное планирование/Выход ИТ-инвестиций  </v>
      </c>
      <c r="J37" s="77" t="s">
        <v>383</v>
      </c>
      <c r="K37" s="117">
        <v>99999999</v>
      </c>
    </row>
    <row r="38" spans="1:20" ht="13.5" thickBot="1">
      <c r="A38" s="40" t="s">
        <v>117</v>
      </c>
      <c r="B38" s="41" t="s">
        <v>165</v>
      </c>
      <c r="C38" s="42" t="s">
        <v>187</v>
      </c>
      <c r="D38" s="41" t="s">
        <v>188</v>
      </c>
      <c r="E38" s="43" t="s">
        <v>189</v>
      </c>
      <c r="F38" s="44" t="s">
        <v>72</v>
      </c>
      <c r="G38" s="14" t="str">
        <f t="shared" si="4"/>
        <v xml:space="preserve">Оперативное управление/Эксплуатация/Резервное копирование не выполняется и не тестируется  </v>
      </c>
      <c r="J38" s="77" t="s">
        <v>384</v>
      </c>
      <c r="K38" s="117">
        <v>249999999</v>
      </c>
    </row>
    <row r="39" spans="1:20" ht="13.5" thickBot="1">
      <c r="A39" s="40" t="s">
        <v>117</v>
      </c>
      <c r="B39" s="41" t="s">
        <v>165</v>
      </c>
      <c r="C39" s="42" t="s">
        <v>187</v>
      </c>
      <c r="D39" s="41" t="s">
        <v>188</v>
      </c>
      <c r="E39" s="43" t="s">
        <v>190</v>
      </c>
      <c r="F39" s="44" t="s">
        <v>73</v>
      </c>
      <c r="G39" s="14" t="str">
        <f t="shared" si="4"/>
        <v xml:space="preserve">Оперативное управление/Эксплуатация/Неспособность архивировать критические данные за пределами объекта  </v>
      </c>
      <c r="J39" s="77" t="s">
        <v>385</v>
      </c>
      <c r="K39" s="117">
        <v>499999999</v>
      </c>
    </row>
    <row r="40" spans="1:20" ht="13.5" thickBot="1">
      <c r="A40" s="40" t="s">
        <v>117</v>
      </c>
      <c r="B40" s="41" t="s">
        <v>165</v>
      </c>
      <c r="C40" s="42" t="s">
        <v>187</v>
      </c>
      <c r="D40" s="41" t="s">
        <v>188</v>
      </c>
      <c r="E40" s="43" t="s">
        <v>191</v>
      </c>
      <c r="F40" s="44" t="s">
        <v>74</v>
      </c>
      <c r="G40" s="14" t="str">
        <f t="shared" si="4"/>
        <v xml:space="preserve">Оперативное управление/Эксплуатация/Неспособность обеспечить обработку  </v>
      </c>
      <c r="J40" s="77" t="s">
        <v>386</v>
      </c>
      <c r="K40" s="117">
        <v>999999999</v>
      </c>
    </row>
    <row r="41" spans="1:20" ht="13.5" thickBot="1">
      <c r="A41" s="40" t="s">
        <v>117</v>
      </c>
      <c r="B41" s="41" t="s">
        <v>165</v>
      </c>
      <c r="C41" s="42" t="s">
        <v>187</v>
      </c>
      <c r="D41" s="41" t="s">
        <v>188</v>
      </c>
      <c r="E41" s="43" t="s">
        <v>192</v>
      </c>
      <c r="F41" s="44" t="s">
        <v>193</v>
      </c>
      <c r="G41" s="14" t="str">
        <f t="shared" si="4"/>
        <v>Оперативное управление/Эксплуатация/Неспособность защитить носители информации</v>
      </c>
      <c r="J41" s="77" t="s">
        <v>387</v>
      </c>
      <c r="K41" s="117">
        <v>2000000000</v>
      </c>
    </row>
    <row r="42" spans="1:20">
      <c r="A42" s="40" t="s">
        <v>117</v>
      </c>
      <c r="B42" s="41" t="s">
        <v>165</v>
      </c>
      <c r="C42" s="42" t="s">
        <v>187</v>
      </c>
      <c r="D42" s="41" t="s">
        <v>188</v>
      </c>
      <c r="E42" s="43" t="s">
        <v>194</v>
      </c>
      <c r="F42" s="44" t="s">
        <v>195</v>
      </c>
      <c r="G42" s="14" t="str">
        <f t="shared" si="4"/>
        <v xml:space="preserve">Оперативное управление/Эксплуатация/Неадекватное планирование мощностей   </v>
      </c>
    </row>
    <row r="43" spans="1:20">
      <c r="A43" s="40" t="s">
        <v>117</v>
      </c>
      <c r="B43" s="41" t="s">
        <v>165</v>
      </c>
      <c r="C43" s="42" t="s">
        <v>187</v>
      </c>
      <c r="D43" s="41" t="s">
        <v>188</v>
      </c>
      <c r="E43" s="43" t="s">
        <v>196</v>
      </c>
      <c r="F43" s="44" t="s">
        <v>75</v>
      </c>
      <c r="G43" s="14" t="str">
        <f t="shared" si="4"/>
        <v xml:space="preserve">Оперативное управление/Эксплуатация/Неэффективные процессы хранения данных  </v>
      </c>
    </row>
    <row r="44" spans="1:20">
      <c r="A44" s="40" t="s">
        <v>117</v>
      </c>
      <c r="B44" s="41" t="s">
        <v>165</v>
      </c>
      <c r="C44" s="43" t="s">
        <v>197</v>
      </c>
      <c r="D44" s="43" t="s">
        <v>198</v>
      </c>
      <c r="E44" s="43" t="s">
        <v>199</v>
      </c>
      <c r="F44" s="44" t="s">
        <v>76</v>
      </c>
      <c r="G44" s="14" t="str">
        <f t="shared" si="4"/>
        <v xml:space="preserve">Оперативное управление/Физическое окружение/Управление экологическими или климатическими изменениями  </v>
      </c>
    </row>
    <row r="45" spans="1:20">
      <c r="A45" s="40" t="s">
        <v>117</v>
      </c>
      <c r="B45" s="41" t="s">
        <v>165</v>
      </c>
      <c r="C45" s="42" t="s">
        <v>200</v>
      </c>
      <c r="D45" s="41" t="s">
        <v>201</v>
      </c>
      <c r="E45" s="43" t="s">
        <v>202</v>
      </c>
      <c r="F45" s="44" t="s">
        <v>77</v>
      </c>
      <c r="G45" s="14" t="str">
        <f t="shared" si="4"/>
        <v xml:space="preserve">Оперативное управление/Управление проблемами/Неспособность решать проблемы  </v>
      </c>
    </row>
    <row r="46" spans="1:20">
      <c r="A46" s="40" t="s">
        <v>117</v>
      </c>
      <c r="B46" s="41" t="s">
        <v>165</v>
      </c>
      <c r="C46" s="42" t="s">
        <v>200</v>
      </c>
      <c r="D46" s="41" t="s">
        <v>201</v>
      </c>
      <c r="E46" s="43" t="s">
        <v>203</v>
      </c>
      <c r="F46" s="44" t="s">
        <v>78</v>
      </c>
      <c r="G46" s="14" t="str">
        <f t="shared" si="4"/>
        <v xml:space="preserve">Оперативное управление/Управление проблемами/Выявление и эскалация проблем  </v>
      </c>
    </row>
    <row r="47" spans="1:20">
      <c r="A47" s="40" t="s">
        <v>117</v>
      </c>
      <c r="B47" s="41" t="s">
        <v>165</v>
      </c>
      <c r="C47" s="42" t="s">
        <v>204</v>
      </c>
      <c r="D47" s="41" t="s">
        <v>205</v>
      </c>
      <c r="E47" s="43" t="s">
        <v>206</v>
      </c>
      <c r="F47" s="44" t="s">
        <v>207</v>
      </c>
      <c r="G47" s="14" t="str">
        <f t="shared" si="4"/>
        <v xml:space="preserve">Оперативное управление/Управление активами/Мониторинг оборудования и его производительности  </v>
      </c>
    </row>
    <row r="48" spans="1:20">
      <c r="A48" s="40" t="s">
        <v>117</v>
      </c>
      <c r="B48" s="41" t="s">
        <v>165</v>
      </c>
      <c r="C48" s="42" t="s">
        <v>204</v>
      </c>
      <c r="D48" s="41" t="s">
        <v>205</v>
      </c>
      <c r="E48" s="43" t="s">
        <v>208</v>
      </c>
      <c r="F48" s="44" t="s">
        <v>79</v>
      </c>
      <c r="G48" s="14" t="str">
        <f t="shared" si="4"/>
        <v xml:space="preserve">Оперативное управление/Управление активами/Использование неподдерживаемого программного и аппаратного обеспечения  </v>
      </c>
    </row>
    <row r="49" spans="1:7">
      <c r="A49" s="40" t="s">
        <v>117</v>
      </c>
      <c r="B49" s="41" t="s">
        <v>165</v>
      </c>
      <c r="C49" s="42" t="s">
        <v>204</v>
      </c>
      <c r="D49" s="41" t="s">
        <v>205</v>
      </c>
      <c r="E49" s="43" t="s">
        <v>209</v>
      </c>
      <c r="F49" s="44" t="s">
        <v>80</v>
      </c>
      <c r="G49" s="14" t="str">
        <f t="shared" si="4"/>
        <v xml:space="preserve">Оперативное управление/Управление активами/Небезопасная утилизация средств массовой информации  </v>
      </c>
    </row>
    <row r="50" spans="1:7">
      <c r="A50" s="339" t="s">
        <v>210</v>
      </c>
      <c r="B50" s="45" t="s">
        <v>211</v>
      </c>
      <c r="C50" s="46" t="s">
        <v>212</v>
      </c>
      <c r="D50" s="47" t="s">
        <v>213</v>
      </c>
      <c r="E50" s="48" t="s">
        <v>214</v>
      </c>
      <c r="F50" s="49" t="s">
        <v>215</v>
      </c>
      <c r="G50" s="14" t="str">
        <f t="shared" si="4"/>
        <v xml:space="preserve">Управление персоналом/Оргструктура/Соответствие потребностям бизнеса  </v>
      </c>
    </row>
    <row r="51" spans="1:7">
      <c r="A51" s="339"/>
      <c r="B51" s="45" t="s">
        <v>211</v>
      </c>
      <c r="C51" s="46" t="s">
        <v>212</v>
      </c>
      <c r="D51" s="47" t="s">
        <v>213</v>
      </c>
      <c r="E51" s="48" t="s">
        <v>216</v>
      </c>
      <c r="F51" s="49" t="s">
        <v>217</v>
      </c>
      <c r="G51" s="14" t="str">
        <f t="shared" si="4"/>
        <v xml:space="preserve">Управление персоналом/Оргструктура/Ответственность в бизнесе и IT  </v>
      </c>
    </row>
    <row r="52" spans="1:7">
      <c r="A52" s="339"/>
      <c r="B52" s="45" t="s">
        <v>211</v>
      </c>
      <c r="C52" s="46" t="s">
        <v>218</v>
      </c>
      <c r="D52" s="47" t="s">
        <v>219</v>
      </c>
      <c r="E52" s="48" t="s">
        <v>220</v>
      </c>
      <c r="F52" s="49" t="s">
        <v>81</v>
      </c>
      <c r="G52" s="14" t="str">
        <f t="shared" si="4"/>
        <v xml:space="preserve">Управление персоналом/Управление талантами / подбор персонала/Неспособность привлечь и удержать сотрудников  </v>
      </c>
    </row>
    <row r="53" spans="1:7">
      <c r="A53" s="339"/>
      <c r="B53" s="45" t="s">
        <v>211</v>
      </c>
      <c r="C53" s="46" t="s">
        <v>218</v>
      </c>
      <c r="D53" s="47" t="s">
        <v>219</v>
      </c>
      <c r="E53" s="48" t="s">
        <v>221</v>
      </c>
      <c r="F53" s="49" t="s">
        <v>82</v>
      </c>
      <c r="G53" s="14" t="str">
        <f t="shared" si="4"/>
        <v xml:space="preserve">Управление персоналом/Управление талантами / подбор персонала/Плохое планирование рабочей силы  </v>
      </c>
    </row>
    <row r="54" spans="1:7">
      <c r="A54" s="339"/>
      <c r="B54" s="45" t="s">
        <v>211</v>
      </c>
      <c r="C54" s="46" t="s">
        <v>218</v>
      </c>
      <c r="D54" s="47" t="s">
        <v>219</v>
      </c>
      <c r="E54" s="48" t="s">
        <v>222</v>
      </c>
      <c r="F54" s="49" t="s">
        <v>83</v>
      </c>
      <c r="G54" s="14" t="str">
        <f t="shared" si="4"/>
        <v xml:space="preserve">Управление персоналом/Управление талантами / подбор персонала/Зависимость от одного лица  </v>
      </c>
    </row>
    <row r="55" spans="1:7">
      <c r="A55" s="339"/>
      <c r="B55" s="45" t="s">
        <v>211</v>
      </c>
      <c r="C55" s="48" t="s">
        <v>223</v>
      </c>
      <c r="D55" s="48" t="s">
        <v>224</v>
      </c>
      <c r="E55" s="48" t="s">
        <v>225</v>
      </c>
      <c r="F55" s="49" t="s">
        <v>84</v>
      </c>
      <c r="G55" s="14" t="str">
        <f t="shared" si="4"/>
        <v xml:space="preserve">Управление персоналом/Обучение и развитие/Неэффективные программы обучения и развития  </v>
      </c>
    </row>
    <row r="56" spans="1:7">
      <c r="A56" s="340" t="s">
        <v>226</v>
      </c>
      <c r="B56" s="50" t="s">
        <v>227</v>
      </c>
      <c r="C56" s="51" t="s">
        <v>228</v>
      </c>
      <c r="D56" s="52" t="s">
        <v>229</v>
      </c>
      <c r="E56" s="53" t="s">
        <v>230</v>
      </c>
      <c r="F56" s="54" t="s">
        <v>85</v>
      </c>
      <c r="G56" s="14" t="str">
        <f t="shared" si="4"/>
        <v xml:space="preserve">Управление проектами/Управление ИТ проектами/PMO/определение приоритетных целей  </v>
      </c>
    </row>
    <row r="57" spans="1:7">
      <c r="A57" s="340"/>
      <c r="B57" s="50" t="s">
        <v>227</v>
      </c>
      <c r="C57" s="51" t="s">
        <v>228</v>
      </c>
      <c r="D57" s="52" t="s">
        <v>229</v>
      </c>
      <c r="E57" s="53" t="s">
        <v>231</v>
      </c>
      <c r="F57" s="54" t="s">
        <v>86</v>
      </c>
      <c r="G57" s="14" t="str">
        <f t="shared" si="4"/>
        <v xml:space="preserve">Управление проектами/Управление ИТ проектами/PMO/мониторинга, информирования о достижениях  </v>
      </c>
    </row>
    <row r="58" spans="1:7">
      <c r="A58" s="340"/>
      <c r="B58" s="50" t="s">
        <v>227</v>
      </c>
      <c r="C58" s="51" t="s">
        <v>228</v>
      </c>
      <c r="D58" s="52" t="s">
        <v>229</v>
      </c>
      <c r="E58" s="53" t="s">
        <v>232</v>
      </c>
      <c r="F58" s="54" t="s">
        <v>87</v>
      </c>
      <c r="G58" s="14" t="str">
        <f t="shared" si="4"/>
        <v xml:space="preserve">Управление проектами/Управление ИТ проектами/Общий метод управления проектами   </v>
      </c>
    </row>
    <row r="59" spans="1:7">
      <c r="A59" s="341" t="s">
        <v>233</v>
      </c>
      <c r="B59" s="55" t="s">
        <v>234</v>
      </c>
      <c r="C59" s="56" t="s">
        <v>235</v>
      </c>
      <c r="D59" s="57" t="s">
        <v>27</v>
      </c>
      <c r="E59" s="57" t="s">
        <v>236</v>
      </c>
      <c r="F59" s="58" t="s">
        <v>88</v>
      </c>
      <c r="G59" s="14" t="str">
        <f t="shared" si="4"/>
        <v xml:space="preserve">Управление информационной безопасностью/Конфиденциальность/Доступ К Данным Защита Данных   </v>
      </c>
    </row>
    <row r="60" spans="1:7">
      <c r="A60" s="341"/>
      <c r="B60" s="55" t="s">
        <v>234</v>
      </c>
      <c r="C60" s="56" t="s">
        <v>235</v>
      </c>
      <c r="D60" s="57" t="s">
        <v>27</v>
      </c>
      <c r="E60" s="57" t="s">
        <v>237</v>
      </c>
      <c r="F60" s="58" t="s">
        <v>89</v>
      </c>
      <c r="G60" s="14" t="str">
        <f t="shared" si="4"/>
        <v xml:space="preserve">Управление информационной безопасностью/Конфиденциальность/Классификация Данных / Владение Данными  </v>
      </c>
    </row>
    <row r="61" spans="1:7">
      <c r="A61" s="341"/>
      <c r="B61" s="55" t="s">
        <v>234</v>
      </c>
      <c r="C61" s="56" t="s">
        <v>238</v>
      </c>
      <c r="D61" s="57" t="s">
        <v>28</v>
      </c>
      <c r="E61" s="57" t="s">
        <v>239</v>
      </c>
      <c r="F61" s="58" t="s">
        <v>240</v>
      </c>
      <c r="G61" s="14" t="str">
        <f t="shared" si="4"/>
        <v xml:space="preserve">Управление информационной безопасностью/Целостность/Стабилизация Бизнеса  </v>
      </c>
    </row>
    <row r="62" spans="1:7">
      <c r="A62" s="341"/>
      <c r="B62" s="55" t="s">
        <v>234</v>
      </c>
      <c r="C62" s="56" t="s">
        <v>238</v>
      </c>
      <c r="D62" s="57" t="s">
        <v>28</v>
      </c>
      <c r="E62" s="57" t="s">
        <v>241</v>
      </c>
      <c r="F62" s="58" t="s">
        <v>90</v>
      </c>
      <c r="G62" s="14" t="str">
        <f t="shared" si="4"/>
        <v xml:space="preserve">Управление информационной безопасностью/Целостность/Почтовые Атаки / Саботаж / Вирусы  </v>
      </c>
    </row>
    <row r="63" spans="1:7">
      <c r="A63" s="341"/>
      <c r="B63" s="55" t="s">
        <v>234</v>
      </c>
      <c r="C63" s="56" t="s">
        <v>238</v>
      </c>
      <c r="D63" s="57" t="s">
        <v>28</v>
      </c>
      <c r="E63" s="57" t="s">
        <v>242</v>
      </c>
      <c r="F63" s="58" t="s">
        <v>243</v>
      </c>
      <c r="G63" s="14" t="str">
        <f t="shared" si="4"/>
        <v xml:space="preserve">Управление информационной безопасностью/Целостность/Несанкционированный доступ  </v>
      </c>
    </row>
    <row r="64" spans="1:7">
      <c r="A64" s="341"/>
      <c r="B64" s="55" t="s">
        <v>234</v>
      </c>
      <c r="C64" s="56" t="s">
        <v>238</v>
      </c>
      <c r="D64" s="57" t="s">
        <v>28</v>
      </c>
      <c r="E64" s="57" t="s">
        <v>244</v>
      </c>
      <c r="F64" s="58" t="s">
        <v>245</v>
      </c>
      <c r="G64" s="14" t="str">
        <f t="shared" si="4"/>
        <v xml:space="preserve">Управление информационной безопасностью/Целостность/Логирование Действий Администратора / Пользователя  </v>
      </c>
    </row>
    <row r="65" spans="1:7">
      <c r="A65" s="341"/>
      <c r="B65" s="55" t="s">
        <v>234</v>
      </c>
      <c r="C65" s="56" t="s">
        <v>238</v>
      </c>
      <c r="D65" s="57" t="s">
        <v>28</v>
      </c>
      <c r="E65" s="57" t="s">
        <v>246</v>
      </c>
      <c r="F65" s="58" t="s">
        <v>247</v>
      </c>
      <c r="G65" s="14" t="str">
        <f t="shared" si="4"/>
        <v>Управление информационной безопасностью/Целостность/Доступ к данным и логирование транзакций</v>
      </c>
    </row>
    <row r="66" spans="1:7">
      <c r="A66" s="342" t="s">
        <v>248</v>
      </c>
      <c r="B66" s="59" t="s">
        <v>249</v>
      </c>
      <c r="C66" s="60" t="s">
        <v>250</v>
      </c>
      <c r="D66" s="60" t="s">
        <v>251</v>
      </c>
      <c r="E66" s="60" t="s">
        <v>252</v>
      </c>
      <c r="F66" s="61" t="s">
        <v>253</v>
      </c>
      <c r="G66" s="14" t="str">
        <f t="shared" si="4"/>
        <v xml:space="preserve">Стратегия и Цели/Состав и полномочия руководства/Отсутствие полномочий у исполнительного руководства  </v>
      </c>
    </row>
    <row r="67" spans="1:7">
      <c r="A67" s="342"/>
      <c r="B67" s="59" t="s">
        <v>249</v>
      </c>
      <c r="C67" s="60" t="s">
        <v>254</v>
      </c>
      <c r="D67" s="60" t="s">
        <v>255</v>
      </c>
      <c r="E67" s="60" t="s">
        <v>256</v>
      </c>
      <c r="F67" s="61" t="s">
        <v>257</v>
      </c>
      <c r="G67" s="14" t="str">
        <f t="shared" si="4"/>
        <v xml:space="preserve">Стратегия и Цели/Внешнее мошенничество/Мошенничество поставщика / партнера  </v>
      </c>
    </row>
    <row r="68" spans="1:7">
      <c r="A68" s="342"/>
      <c r="B68" s="59" t="s">
        <v>249</v>
      </c>
      <c r="C68" s="62" t="s">
        <v>258</v>
      </c>
      <c r="D68" s="60" t="s">
        <v>259</v>
      </c>
      <c r="E68" s="60" t="s">
        <v>260</v>
      </c>
      <c r="F68" s="61" t="s">
        <v>261</v>
      </c>
      <c r="G68" s="14" t="str">
        <f t="shared" si="4"/>
        <v xml:space="preserve">Стратегия и Цели/Структура управления/Отчетность руководства ИТ  </v>
      </c>
    </row>
    <row r="69" spans="1:7">
      <c r="A69" s="342"/>
      <c r="B69" s="59" t="s">
        <v>249</v>
      </c>
      <c r="C69" s="62" t="s">
        <v>258</v>
      </c>
      <c r="D69" s="60" t="s">
        <v>259</v>
      </c>
      <c r="E69" s="60" t="s">
        <v>262</v>
      </c>
      <c r="F69" s="61" t="s">
        <v>91</v>
      </c>
      <c r="G69" s="14" t="str">
        <f t="shared" si="4"/>
        <v xml:space="preserve">Стратегия и Цели/Структура управления/Отсутствует структура ИТ-процесса  </v>
      </c>
    </row>
    <row r="70" spans="1:7">
      <c r="A70" s="342"/>
      <c r="B70" s="59" t="s">
        <v>249</v>
      </c>
      <c r="C70" s="60" t="s">
        <v>263</v>
      </c>
      <c r="D70" s="60" t="s">
        <v>264</v>
      </c>
      <c r="E70" s="60" t="s">
        <v>265</v>
      </c>
      <c r="F70" s="61" t="s">
        <v>92</v>
      </c>
      <c r="G70" s="14" t="str">
        <f t="shared" ref="G70:G94" si="5">CONCATENATE(B70,"/",D70,"/",F70)</f>
        <v xml:space="preserve">Стратегия и Цели/Управление производительностью/Неспособность измерить производительность  </v>
      </c>
    </row>
    <row r="71" spans="1:7">
      <c r="A71" s="342"/>
      <c r="B71" s="59" t="s">
        <v>249</v>
      </c>
      <c r="C71" s="62" t="s">
        <v>266</v>
      </c>
      <c r="D71" s="60" t="s">
        <v>267</v>
      </c>
      <c r="E71" s="60" t="s">
        <v>268</v>
      </c>
      <c r="F71" s="61" t="s">
        <v>269</v>
      </c>
      <c r="G71" s="14" t="str">
        <f t="shared" si="5"/>
        <v xml:space="preserve">Стратегия и Цели/Контроль за рисками/Несоответствующий контроль за деятельностью ИТРМ  </v>
      </c>
    </row>
    <row r="72" spans="1:7">
      <c r="A72" s="342"/>
      <c r="B72" s="59" t="s">
        <v>249</v>
      </c>
      <c r="C72" s="62" t="s">
        <v>266</v>
      </c>
      <c r="D72" s="60" t="s">
        <v>267</v>
      </c>
      <c r="E72" s="60" t="s">
        <v>270</v>
      </c>
      <c r="F72" s="61" t="s">
        <v>93</v>
      </c>
      <c r="G72" s="14" t="str">
        <f t="shared" si="5"/>
        <v xml:space="preserve">Стратегия и Цели/Контроль за рисками/Процесс управления ИТ-рисками  </v>
      </c>
    </row>
    <row r="73" spans="1:7">
      <c r="A73" s="342"/>
      <c r="B73" s="59" t="s">
        <v>249</v>
      </c>
      <c r="C73" s="62" t="s">
        <v>266</v>
      </c>
      <c r="D73" s="60" t="s">
        <v>267</v>
      </c>
      <c r="E73" s="60" t="s">
        <v>271</v>
      </c>
      <c r="F73" s="61" t="s">
        <v>94</v>
      </c>
      <c r="G73" s="14" t="str">
        <f t="shared" si="5"/>
        <v xml:space="preserve">Стратегия и Цели/Контроль за рисками/Структура ИТ-рисков  </v>
      </c>
    </row>
    <row r="74" spans="1:7">
      <c r="A74" s="342"/>
      <c r="B74" s="59" t="s">
        <v>249</v>
      </c>
      <c r="C74" s="62" t="s">
        <v>272</v>
      </c>
      <c r="D74" s="60" t="s">
        <v>273</v>
      </c>
      <c r="E74" s="60" t="s">
        <v>274</v>
      </c>
      <c r="F74" s="61" t="s">
        <v>95</v>
      </c>
      <c r="G74" s="14" t="str">
        <f t="shared" si="5"/>
        <v xml:space="preserve">Стратегия и Цели/Стратегическтое планирование/Рассогласование ИТ-стратегии  </v>
      </c>
    </row>
    <row r="75" spans="1:7">
      <c r="A75" s="342"/>
      <c r="B75" s="59" t="s">
        <v>249</v>
      </c>
      <c r="C75" s="62" t="s">
        <v>272</v>
      </c>
      <c r="D75" s="60" t="s">
        <v>273</v>
      </c>
      <c r="E75" s="60" t="s">
        <v>275</v>
      </c>
      <c r="F75" s="61" t="s">
        <v>96</v>
      </c>
      <c r="G75" s="14" t="str">
        <f t="shared" si="5"/>
        <v xml:space="preserve">Стратегия и Цели/Стратегическтое планирование/Нецелевое использование ресурсов  </v>
      </c>
    </row>
    <row r="76" spans="1:7">
      <c r="A76" s="343" t="s">
        <v>276</v>
      </c>
      <c r="B76" s="63" t="s">
        <v>277</v>
      </c>
      <c r="C76" s="64" t="s">
        <v>278</v>
      </c>
      <c r="D76" s="65" t="s">
        <v>279</v>
      </c>
      <c r="E76" s="65" t="s">
        <v>280</v>
      </c>
      <c r="F76" s="66" t="s">
        <v>281</v>
      </c>
      <c r="G76" s="14" t="str">
        <f t="shared" si="5"/>
        <v xml:space="preserve">Управление поставщиками/Критические точки бизнеса/Зависимость от внешних факторов/инфраструктуры  </v>
      </c>
    </row>
    <row r="77" spans="1:7">
      <c r="A77" s="343"/>
      <c r="B77" s="63" t="s">
        <v>277</v>
      </c>
      <c r="C77" s="64" t="s">
        <v>278</v>
      </c>
      <c r="D77" s="65" t="s">
        <v>279</v>
      </c>
      <c r="E77" s="65" t="s">
        <v>282</v>
      </c>
      <c r="F77" s="66" t="s">
        <v>97</v>
      </c>
      <c r="G77" s="14" t="str">
        <f t="shared" si="5"/>
        <v xml:space="preserve">Управление поставщиками/Критические точки бизнеса/Чрезмерная зависимость от поставщика  </v>
      </c>
    </row>
    <row r="78" spans="1:7">
      <c r="A78" s="343"/>
      <c r="B78" s="63" t="s">
        <v>277</v>
      </c>
      <c r="C78" s="64" t="s">
        <v>283</v>
      </c>
      <c r="D78" s="65" t="s">
        <v>284</v>
      </c>
      <c r="E78" s="65" t="s">
        <v>285</v>
      </c>
      <c r="F78" s="66" t="s">
        <v>98</v>
      </c>
      <c r="G78" s="14" t="str">
        <f t="shared" si="5"/>
        <v xml:space="preserve">Управление поставщиками/Управление договорами/Мониторинг бизнес-партнеров  </v>
      </c>
    </row>
    <row r="79" spans="1:7">
      <c r="A79" s="343"/>
      <c r="B79" s="63" t="s">
        <v>277</v>
      </c>
      <c r="C79" s="64" t="s">
        <v>283</v>
      </c>
      <c r="D79" s="65" t="s">
        <v>284</v>
      </c>
      <c r="E79" s="65" t="s">
        <v>286</v>
      </c>
      <c r="F79" s="66" t="s">
        <v>287</v>
      </c>
      <c r="G79" s="14" t="str">
        <f t="shared" si="5"/>
        <v xml:space="preserve">Управление поставщиками/Управление договорами/Неопределеннный SLA для ИТ-услуг  </v>
      </c>
    </row>
    <row r="80" spans="1:7">
      <c r="A80" s="343"/>
      <c r="B80" s="63" t="s">
        <v>277</v>
      </c>
      <c r="C80" s="64" t="s">
        <v>283</v>
      </c>
      <c r="D80" s="65" t="s">
        <v>284</v>
      </c>
      <c r="E80" s="65" t="s">
        <v>288</v>
      </c>
      <c r="F80" s="66" t="s">
        <v>289</v>
      </c>
      <c r="G80" s="14" t="str">
        <f t="shared" si="5"/>
        <v xml:space="preserve">Управление поставщиками/Управление договорами/Невозможность проверки методов обеспечения безопасности  </v>
      </c>
    </row>
    <row r="81" spans="1:7">
      <c r="A81" s="343"/>
      <c r="B81" s="63" t="s">
        <v>277</v>
      </c>
      <c r="C81" s="64" t="s">
        <v>290</v>
      </c>
      <c r="D81" s="65" t="s">
        <v>291</v>
      </c>
      <c r="E81" s="65" t="s">
        <v>292</v>
      </c>
      <c r="F81" s="66" t="s">
        <v>99</v>
      </c>
      <c r="G81" s="14" t="str">
        <f t="shared" si="5"/>
        <v xml:space="preserve">Управление поставщиками/Аутсорсинг/Аутсорсинговое агентство не соответствует требованиям  </v>
      </c>
    </row>
    <row r="82" spans="1:7">
      <c r="A82" s="343"/>
      <c r="B82" s="63" t="s">
        <v>277</v>
      </c>
      <c r="C82" s="64" t="s">
        <v>290</v>
      </c>
      <c r="D82" s="65" t="s">
        <v>291</v>
      </c>
      <c r="E82" s="65" t="s">
        <v>293</v>
      </c>
      <c r="F82" s="66" t="s">
        <v>294</v>
      </c>
      <c r="G82" s="14" t="str">
        <f t="shared" si="5"/>
        <v xml:space="preserve">Управление поставщиками/Аутсорсинг/Неспособность контролировать бизнес-партнеров  </v>
      </c>
    </row>
    <row r="83" spans="1:7">
      <c r="A83" s="343"/>
      <c r="B83" s="63" t="s">
        <v>277</v>
      </c>
      <c r="C83" s="64" t="s">
        <v>290</v>
      </c>
      <c r="D83" s="65" t="s">
        <v>291</v>
      </c>
      <c r="E83" s="65" t="s">
        <v>295</v>
      </c>
      <c r="F83" s="66" t="s">
        <v>100</v>
      </c>
      <c r="G83" s="14" t="str">
        <f t="shared" si="5"/>
        <v xml:space="preserve">Управление поставщиками/Аутсорсинг/Потеря ключевых компетенций  </v>
      </c>
    </row>
    <row r="84" spans="1:7">
      <c r="A84" s="343"/>
      <c r="B84" s="63" t="s">
        <v>277</v>
      </c>
      <c r="C84" s="64" t="s">
        <v>290</v>
      </c>
      <c r="D84" s="65" t="s">
        <v>291</v>
      </c>
      <c r="E84" s="65" t="s">
        <v>296</v>
      </c>
      <c r="F84" s="66" t="s">
        <v>297</v>
      </c>
      <c r="G84" s="14" t="str">
        <f t="shared" si="5"/>
        <v xml:space="preserve">Управление поставщиками/Аутсорсинг/Зависимость от уникальных аутсорсинговых функций  </v>
      </c>
    </row>
    <row r="85" spans="1:7">
      <c r="A85" s="343"/>
      <c r="B85" s="63" t="s">
        <v>277</v>
      </c>
      <c r="C85" s="64" t="s">
        <v>290</v>
      </c>
      <c r="D85" s="65" t="s">
        <v>291</v>
      </c>
      <c r="E85" s="65" t="s">
        <v>298</v>
      </c>
      <c r="F85" s="66" t="s">
        <v>299</v>
      </c>
      <c r="G85" s="14" t="str">
        <f t="shared" si="5"/>
        <v>Управление поставщиками/Аутсорсинг/Контроль безопасности и конфиденциальности сторонних данных</v>
      </c>
    </row>
    <row r="86" spans="1:7">
      <c r="A86" s="343"/>
      <c r="B86" s="63" t="s">
        <v>277</v>
      </c>
      <c r="C86" s="64" t="s">
        <v>300</v>
      </c>
      <c r="D86" s="65" t="s">
        <v>301</v>
      </c>
      <c r="E86" s="65" t="s">
        <v>302</v>
      </c>
      <c r="F86" s="66" t="s">
        <v>101</v>
      </c>
      <c r="G86" s="14" t="str">
        <f t="shared" si="5"/>
        <v xml:space="preserve">Управление поставщиками/Подбор поставщика/Управление рисками поставщиков  </v>
      </c>
    </row>
    <row r="87" spans="1:7">
      <c r="A87" s="343"/>
      <c r="B87" s="63" t="s">
        <v>277</v>
      </c>
      <c r="C87" s="64" t="s">
        <v>300</v>
      </c>
      <c r="D87" s="65" t="s">
        <v>301</v>
      </c>
      <c r="E87" s="65" t="s">
        <v>303</v>
      </c>
      <c r="F87" s="66" t="s">
        <v>102</v>
      </c>
      <c r="G87" s="14" t="str">
        <f t="shared" si="5"/>
        <v xml:space="preserve">Управление поставщиками/Подбор поставщика/Неправильный выбор поставщика  </v>
      </c>
    </row>
    <row r="88" spans="1:7">
      <c r="A88" s="343"/>
      <c r="B88" s="63" t="s">
        <v>277</v>
      </c>
      <c r="C88" s="67" t="s">
        <v>304</v>
      </c>
      <c r="D88" s="65" t="s">
        <v>305</v>
      </c>
      <c r="E88" s="65" t="s">
        <v>306</v>
      </c>
      <c r="F88" s="66" t="s">
        <v>103</v>
      </c>
      <c r="G88" s="14" t="str">
        <f t="shared" si="5"/>
        <v xml:space="preserve">Управление поставщиками/Требования третьих сторон/Контрактный риск  </v>
      </c>
    </row>
    <row r="89" spans="1:7">
      <c r="A89" s="337" t="s">
        <v>307</v>
      </c>
      <c r="B89" s="68" t="s">
        <v>308</v>
      </c>
      <c r="C89" s="69" t="s">
        <v>309</v>
      </c>
      <c r="D89" s="68" t="s">
        <v>308</v>
      </c>
      <c r="E89" s="70" t="s">
        <v>310</v>
      </c>
      <c r="F89" s="71" t="s">
        <v>311</v>
      </c>
      <c r="G89" s="14" t="str">
        <f t="shared" si="5"/>
        <v xml:space="preserve">Физическая безопасность/Физическая безопасность/Ошибки реализации управления безопасностью  </v>
      </c>
    </row>
    <row r="90" spans="1:7">
      <c r="A90" s="337"/>
      <c r="B90" s="68" t="s">
        <v>308</v>
      </c>
      <c r="C90" s="69" t="s">
        <v>309</v>
      </c>
      <c r="D90" s="68" t="s">
        <v>308</v>
      </c>
      <c r="E90" s="70" t="s">
        <v>312</v>
      </c>
      <c r="F90" s="71" t="s">
        <v>313</v>
      </c>
      <c r="G90" s="14" t="str">
        <f t="shared" si="5"/>
        <v>Физическая безопасность/Физическая безопасность/Недостаточная физическая безопасность ЦОД</v>
      </c>
    </row>
    <row r="91" spans="1:7">
      <c r="A91" s="337"/>
      <c r="B91" s="68" t="s">
        <v>308</v>
      </c>
      <c r="C91" s="69" t="s">
        <v>309</v>
      </c>
      <c r="D91" s="68" t="s">
        <v>308</v>
      </c>
      <c r="E91" s="70" t="s">
        <v>314</v>
      </c>
      <c r="F91" s="71" t="s">
        <v>104</v>
      </c>
      <c r="G91" s="14" t="str">
        <f t="shared" si="5"/>
        <v xml:space="preserve">Физическая безопасность/Физическая безопасность/Планы снижения рисков физической безопасности  </v>
      </c>
    </row>
    <row r="92" spans="1:7">
      <c r="A92" s="337"/>
      <c r="B92" s="68" t="s">
        <v>308</v>
      </c>
      <c r="C92" s="69" t="s">
        <v>309</v>
      </c>
      <c r="D92" s="68" t="s">
        <v>308</v>
      </c>
      <c r="E92" s="70" t="s">
        <v>315</v>
      </c>
      <c r="F92" s="71" t="s">
        <v>105</v>
      </c>
      <c r="G92" s="14" t="str">
        <f t="shared" si="5"/>
        <v xml:space="preserve">Физическая безопасность/Физическая безопасность/Процессы для защиты физических активов  </v>
      </c>
    </row>
    <row r="93" spans="1:7">
      <c r="A93" s="337"/>
      <c r="B93" s="68" t="s">
        <v>308</v>
      </c>
      <c r="C93" s="69" t="s">
        <v>309</v>
      </c>
      <c r="D93" s="68" t="s">
        <v>308</v>
      </c>
      <c r="E93" s="70" t="s">
        <v>316</v>
      </c>
      <c r="F93" s="71" t="s">
        <v>106</v>
      </c>
      <c r="G93" s="14" t="str">
        <f t="shared" si="5"/>
        <v xml:space="preserve">Физическая безопасность/Физическая безопасность/Хищение активов  </v>
      </c>
    </row>
    <row r="94" spans="1:7">
      <c r="A94" s="72" t="s">
        <v>317</v>
      </c>
      <c r="B94" s="72" t="s">
        <v>318</v>
      </c>
      <c r="C94" s="73" t="s">
        <v>317</v>
      </c>
      <c r="D94" s="72" t="s">
        <v>318</v>
      </c>
      <c r="E94" s="73" t="s">
        <v>317</v>
      </c>
      <c r="F94" s="74" t="s">
        <v>107</v>
      </c>
      <c r="G94" s="14" t="str">
        <f t="shared" si="5"/>
        <v>Неклассифицированные риски/Неклассифицированные риски/Неклассифицированные Риски</v>
      </c>
    </row>
  </sheetData>
  <mergeCells count="11">
    <mergeCell ref="J1:L1"/>
    <mergeCell ref="M1:O1"/>
    <mergeCell ref="P1:R1"/>
    <mergeCell ref="S1:U1"/>
    <mergeCell ref="A89:A93"/>
    <mergeCell ref="A20:A22"/>
    <mergeCell ref="A50:A55"/>
    <mergeCell ref="A56:A58"/>
    <mergeCell ref="A59:A65"/>
    <mergeCell ref="A66:A75"/>
    <mergeCell ref="A76:A88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6">
    <tabColor rgb="FF80B0C8"/>
  </sheetPr>
  <dimension ref="A1:B28"/>
  <sheetViews>
    <sheetView workbookViewId="0">
      <selection activeCell="B27" sqref="B27"/>
    </sheetView>
  </sheetViews>
  <sheetFormatPr defaultColWidth="12" defaultRowHeight="12.75"/>
  <cols>
    <col min="1" max="1" width="18.1640625" customWidth="1"/>
    <col min="2" max="2" width="72.6640625" customWidth="1"/>
  </cols>
  <sheetData>
    <row r="1" spans="1:2">
      <c r="A1" s="5" t="s">
        <v>12</v>
      </c>
      <c r="B1" s="6" t="s">
        <v>6</v>
      </c>
    </row>
    <row r="2" spans="1:2">
      <c r="A2" s="5" t="s">
        <v>13</v>
      </c>
      <c r="B2" s="6" t="s">
        <v>0</v>
      </c>
    </row>
    <row r="3" spans="1:2">
      <c r="A3" s="5" t="s">
        <v>14</v>
      </c>
      <c r="B3" s="6" t="s">
        <v>5</v>
      </c>
    </row>
    <row r="4" spans="1:2">
      <c r="A4" s="5" t="s">
        <v>15</v>
      </c>
      <c r="B4" s="7" t="s">
        <v>11</v>
      </c>
    </row>
    <row r="5" spans="1:2">
      <c r="A5" s="9" t="s">
        <v>16</v>
      </c>
      <c r="B5" s="10" t="s">
        <v>4</v>
      </c>
    </row>
    <row r="8" spans="1:2">
      <c r="A8" s="344" t="s">
        <v>7</v>
      </c>
      <c r="B8" s="344"/>
    </row>
    <row r="9" spans="1:2">
      <c r="A9" s="8" t="s">
        <v>1</v>
      </c>
    </row>
    <row r="10" spans="1:2">
      <c r="A10" s="5" t="s">
        <v>8</v>
      </c>
      <c r="B10" s="6" t="s">
        <v>20</v>
      </c>
    </row>
    <row r="11" spans="1:2">
      <c r="A11" s="5" t="s">
        <v>9</v>
      </c>
      <c r="B11" s="7">
        <v>43440</v>
      </c>
    </row>
    <row r="12" spans="1:2">
      <c r="A12" s="5" t="s">
        <v>10</v>
      </c>
      <c r="B12" s="6" t="s">
        <v>21</v>
      </c>
    </row>
    <row r="13" spans="1:2">
      <c r="A13" s="8" t="s">
        <v>2</v>
      </c>
    </row>
    <row r="14" spans="1:2">
      <c r="A14" s="5" t="s">
        <v>8</v>
      </c>
      <c r="B14" s="6" t="s">
        <v>18</v>
      </c>
    </row>
    <row r="15" spans="1:2">
      <c r="A15" s="5" t="s">
        <v>9</v>
      </c>
      <c r="B15" s="7">
        <v>43473</v>
      </c>
    </row>
    <row r="16" spans="1:2">
      <c r="A16" s="5" t="s">
        <v>10</v>
      </c>
      <c r="B16" s="6" t="s">
        <v>17</v>
      </c>
    </row>
    <row r="17" spans="1:2">
      <c r="A17" s="8" t="s">
        <v>3</v>
      </c>
    </row>
    <row r="18" spans="1:2">
      <c r="A18" s="5" t="s">
        <v>8</v>
      </c>
      <c r="B18" s="6" t="s">
        <v>19</v>
      </c>
    </row>
    <row r="19" spans="1:2">
      <c r="A19" s="5" t="s">
        <v>9</v>
      </c>
      <c r="B19" s="7">
        <v>43565</v>
      </c>
    </row>
    <row r="20" spans="1:2">
      <c r="A20" s="5" t="s">
        <v>10</v>
      </c>
      <c r="B20" s="6" t="s">
        <v>17</v>
      </c>
    </row>
    <row r="21" spans="1:2">
      <c r="A21" s="8" t="s">
        <v>4</v>
      </c>
    </row>
    <row r="22" spans="1:2">
      <c r="A22" s="5" t="s">
        <v>8</v>
      </c>
      <c r="B22" s="6" t="s">
        <v>23</v>
      </c>
    </row>
    <row r="23" spans="1:2">
      <c r="A23" s="5" t="s">
        <v>9</v>
      </c>
      <c r="B23" s="7">
        <v>43594</v>
      </c>
    </row>
    <row r="24" spans="1:2">
      <c r="A24" s="5" t="s">
        <v>10</v>
      </c>
      <c r="B24" s="6" t="s">
        <v>17</v>
      </c>
    </row>
    <row r="25" spans="1:2">
      <c r="A25" s="8" t="s">
        <v>22</v>
      </c>
    </row>
    <row r="26" spans="1:2">
      <c r="A26" s="5" t="s">
        <v>8</v>
      </c>
      <c r="B26" s="6"/>
    </row>
    <row r="27" spans="1:2">
      <c r="A27" s="5" t="s">
        <v>9</v>
      </c>
      <c r="B27" s="7"/>
    </row>
    <row r="28" spans="1:2">
      <c r="A28" s="5" t="s">
        <v>10</v>
      </c>
      <c r="B28" s="6"/>
    </row>
  </sheetData>
  <sheetProtection formatCells="0" formatColumns="0" formatRows="0" insertColumns="0" insertRows="0" insertHyperlinks="0" deleteColumns="0" deleteRows="0" sort="0" autoFilter="0" pivotTables="0"/>
  <mergeCells count="1">
    <mergeCell ref="A8:B8"/>
  </mergeCells>
  <pageMargins left="0.7" right="0.7" top="0.78740157499999996" bottom="0.78740157499999996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</vt:i4>
      </vt:variant>
    </vt:vector>
  </HeadingPairs>
  <TitlesOfParts>
    <vt:vector size="12" baseType="lpstr">
      <vt:lpstr>Dashboard</vt:lpstr>
      <vt:lpstr>Риск</vt:lpstr>
      <vt:lpstr>Оценка</vt:lpstr>
      <vt:lpstr>Контрмеры</vt:lpstr>
      <vt:lpstr>Теория</vt:lpstr>
      <vt:lpstr>Manual</vt:lpstr>
      <vt:lpstr>Objectives</vt:lpstr>
      <vt:lpstr>Эскалация</vt:lpstr>
      <vt:lpstr>Оценка риска</vt:lpstr>
      <vt:lpstr>Lists</vt:lpstr>
      <vt:lpstr>History</vt:lpstr>
      <vt:lpstr>ВерВес</vt:lpstr>
    </vt:vector>
  </TitlesOfParts>
  <Manager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Template IRMA</dc:title>
  <dc:subject>Risikomanagement bei K-FIM</dc:subject>
  <dc:creator>Mironov, Alexandr (VW Group Rus)</dc:creator>
  <dc:description>Version 1.0</dc:description>
  <cp:lastModifiedBy>Максим Чугунов</cp:lastModifiedBy>
  <cp:lastPrinted>2020-09-18T09:10:22Z</cp:lastPrinted>
  <dcterms:created xsi:type="dcterms:W3CDTF">2018-10-16T14:16:42Z</dcterms:created>
  <dcterms:modified xsi:type="dcterms:W3CDTF">2026-07-01T09:26:00Z</dcterms:modified>
  <cp:category>KSUD:20210216;KSU:3.1;classD:20210216;class:Confidential</cp:category>
  <cp:contentStatus>Pilotphase</cp:contentStatus>
</cp:coreProperties>
</file>